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anti/Desktop/SantiRepos/EDD/T1-2019-1-santilaguna/"/>
    </mc:Choice>
  </mc:AlternateContent>
  <xr:revisionPtr revIDLastSave="0" documentId="8_{9D65E5D6-AD75-2A4E-A612-709C6C8A3136}" xr6:coauthVersionLast="43" xr6:coauthVersionMax="43" xr10:uidLastSave="{00000000-0000-0000-0000-000000000000}"/>
  <bookViews>
    <workbookView xWindow="380" yWindow="460" windowWidth="28040" windowHeight="16400"/>
  </bookViews>
  <sheets>
    <sheet name="train_variate" sheetId="1" r:id="rId1"/>
  </sheets>
  <calcPr calcId="0"/>
</workbook>
</file>

<file path=xl/calcChain.xml><?xml version="1.0" encoding="utf-8"?>
<calcChain xmlns="http://schemas.openxmlformats.org/spreadsheetml/2006/main">
  <c r="P3" i="1" l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O2" i="1"/>
  <c r="N2" i="1"/>
  <c r="M2" i="1"/>
</calcChain>
</file>

<file path=xl/sharedStrings.xml><?xml version="1.0" encoding="utf-8"?>
<sst xmlns="http://schemas.openxmlformats.org/spreadsheetml/2006/main" count="5" uniqueCount="5">
  <si>
    <t>|train|</t>
  </si>
  <si>
    <t>Min</t>
  </si>
  <si>
    <t>Max</t>
  </si>
  <si>
    <t>Promedio</t>
  </si>
  <si>
    <t>Teórico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</si>
</sst>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Tiempo de ejecución KNN</a:t>
            </a:r>
            <a:r>
              <a:rPr lang="es-ES_tradnl" baseline="0"/>
              <a:t> según tamaño de train</a:t>
            </a:r>
            <a:endParaRPr lang="es-ES_tradnl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7.4338669006501906E-2"/>
          <c:y val="5.0073527058022684E-2"/>
          <c:w val="0.81607274927065343"/>
          <c:h val="0.83684886476569065"/>
        </c:manualLayout>
      </c:layout>
      <c:lineChart>
        <c:grouping val="standard"/>
        <c:varyColors val="0"/>
        <c:ser>
          <c:idx val="12"/>
          <c:order val="0"/>
          <c:tx>
            <c:v>Min</c:v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train_variate!$A$2:$A$101</c:f>
              <c:numCache>
                <c:formatCode>General</c:formatCode>
                <c:ptCount val="10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  <c:pt idx="20">
                  <c:v>10500</c:v>
                </c:pt>
                <c:pt idx="21">
                  <c:v>11000</c:v>
                </c:pt>
                <c:pt idx="22">
                  <c:v>11500</c:v>
                </c:pt>
                <c:pt idx="23">
                  <c:v>12000</c:v>
                </c:pt>
                <c:pt idx="24">
                  <c:v>12500</c:v>
                </c:pt>
                <c:pt idx="25">
                  <c:v>13000</c:v>
                </c:pt>
                <c:pt idx="26">
                  <c:v>13500</c:v>
                </c:pt>
                <c:pt idx="27">
                  <c:v>14000</c:v>
                </c:pt>
                <c:pt idx="28">
                  <c:v>14500</c:v>
                </c:pt>
                <c:pt idx="29">
                  <c:v>15000</c:v>
                </c:pt>
                <c:pt idx="30">
                  <c:v>15500</c:v>
                </c:pt>
                <c:pt idx="31">
                  <c:v>16000</c:v>
                </c:pt>
                <c:pt idx="32">
                  <c:v>16500</c:v>
                </c:pt>
                <c:pt idx="33">
                  <c:v>17000</c:v>
                </c:pt>
                <c:pt idx="34">
                  <c:v>17500</c:v>
                </c:pt>
                <c:pt idx="35">
                  <c:v>18000</c:v>
                </c:pt>
                <c:pt idx="36">
                  <c:v>18500</c:v>
                </c:pt>
                <c:pt idx="37">
                  <c:v>19000</c:v>
                </c:pt>
                <c:pt idx="38">
                  <c:v>19500</c:v>
                </c:pt>
                <c:pt idx="39">
                  <c:v>20000</c:v>
                </c:pt>
                <c:pt idx="40">
                  <c:v>20500</c:v>
                </c:pt>
                <c:pt idx="41">
                  <c:v>21000</c:v>
                </c:pt>
                <c:pt idx="42">
                  <c:v>21500</c:v>
                </c:pt>
                <c:pt idx="43">
                  <c:v>22000</c:v>
                </c:pt>
                <c:pt idx="44">
                  <c:v>22500</c:v>
                </c:pt>
                <c:pt idx="45">
                  <c:v>23000</c:v>
                </c:pt>
                <c:pt idx="46">
                  <c:v>23500</c:v>
                </c:pt>
                <c:pt idx="47">
                  <c:v>24000</c:v>
                </c:pt>
                <c:pt idx="48">
                  <c:v>24500</c:v>
                </c:pt>
                <c:pt idx="49">
                  <c:v>25000</c:v>
                </c:pt>
                <c:pt idx="50">
                  <c:v>25500</c:v>
                </c:pt>
                <c:pt idx="51">
                  <c:v>26000</c:v>
                </c:pt>
                <c:pt idx="52">
                  <c:v>26500</c:v>
                </c:pt>
                <c:pt idx="53">
                  <c:v>27000</c:v>
                </c:pt>
                <c:pt idx="54">
                  <c:v>27500</c:v>
                </c:pt>
                <c:pt idx="55">
                  <c:v>28000</c:v>
                </c:pt>
                <c:pt idx="56">
                  <c:v>28500</c:v>
                </c:pt>
                <c:pt idx="57">
                  <c:v>29000</c:v>
                </c:pt>
                <c:pt idx="58">
                  <c:v>29500</c:v>
                </c:pt>
                <c:pt idx="59">
                  <c:v>30000</c:v>
                </c:pt>
                <c:pt idx="60">
                  <c:v>30500</c:v>
                </c:pt>
                <c:pt idx="61">
                  <c:v>31000</c:v>
                </c:pt>
                <c:pt idx="62">
                  <c:v>31500</c:v>
                </c:pt>
                <c:pt idx="63">
                  <c:v>32000</c:v>
                </c:pt>
                <c:pt idx="64">
                  <c:v>32500</c:v>
                </c:pt>
                <c:pt idx="65">
                  <c:v>33000</c:v>
                </c:pt>
                <c:pt idx="66">
                  <c:v>33500</c:v>
                </c:pt>
                <c:pt idx="67">
                  <c:v>34000</c:v>
                </c:pt>
                <c:pt idx="68">
                  <c:v>34500</c:v>
                </c:pt>
                <c:pt idx="69">
                  <c:v>35000</c:v>
                </c:pt>
                <c:pt idx="70">
                  <c:v>35500</c:v>
                </c:pt>
                <c:pt idx="71">
                  <c:v>36000</c:v>
                </c:pt>
                <c:pt idx="72">
                  <c:v>36500</c:v>
                </c:pt>
                <c:pt idx="73">
                  <c:v>37000</c:v>
                </c:pt>
                <c:pt idx="74">
                  <c:v>37500</c:v>
                </c:pt>
                <c:pt idx="75">
                  <c:v>38000</c:v>
                </c:pt>
                <c:pt idx="76">
                  <c:v>38500</c:v>
                </c:pt>
                <c:pt idx="77">
                  <c:v>39000</c:v>
                </c:pt>
                <c:pt idx="78">
                  <c:v>39500</c:v>
                </c:pt>
                <c:pt idx="79">
                  <c:v>40000</c:v>
                </c:pt>
                <c:pt idx="80">
                  <c:v>40500</c:v>
                </c:pt>
                <c:pt idx="81">
                  <c:v>41000</c:v>
                </c:pt>
                <c:pt idx="82">
                  <c:v>41500</c:v>
                </c:pt>
                <c:pt idx="83">
                  <c:v>42000</c:v>
                </c:pt>
                <c:pt idx="84">
                  <c:v>42500</c:v>
                </c:pt>
                <c:pt idx="85">
                  <c:v>43000</c:v>
                </c:pt>
                <c:pt idx="86">
                  <c:v>43500</c:v>
                </c:pt>
                <c:pt idx="87">
                  <c:v>44000</c:v>
                </c:pt>
                <c:pt idx="88">
                  <c:v>44500</c:v>
                </c:pt>
                <c:pt idx="89">
                  <c:v>45000</c:v>
                </c:pt>
                <c:pt idx="90">
                  <c:v>45500</c:v>
                </c:pt>
                <c:pt idx="91">
                  <c:v>46000</c:v>
                </c:pt>
                <c:pt idx="92">
                  <c:v>46500</c:v>
                </c:pt>
                <c:pt idx="93">
                  <c:v>47000</c:v>
                </c:pt>
                <c:pt idx="94">
                  <c:v>47500</c:v>
                </c:pt>
                <c:pt idx="95">
                  <c:v>48000</c:v>
                </c:pt>
                <c:pt idx="96">
                  <c:v>48500</c:v>
                </c:pt>
                <c:pt idx="97">
                  <c:v>49000</c:v>
                </c:pt>
                <c:pt idx="98">
                  <c:v>49500</c:v>
                </c:pt>
                <c:pt idx="99">
                  <c:v>50000</c:v>
                </c:pt>
              </c:numCache>
            </c:numRef>
          </c:cat>
          <c:val>
            <c:numRef>
              <c:f>train_variate!$M$2:$M$101</c:f>
              <c:numCache>
                <c:formatCode>General</c:formatCode>
                <c:ptCount val="100"/>
                <c:pt idx="0">
                  <c:v>4.1E-5</c:v>
                </c:pt>
                <c:pt idx="1">
                  <c:v>4.3999999999999999E-5</c:v>
                </c:pt>
                <c:pt idx="2">
                  <c:v>5.1E-5</c:v>
                </c:pt>
                <c:pt idx="3">
                  <c:v>5.5000000000000002E-5</c:v>
                </c:pt>
                <c:pt idx="4">
                  <c:v>5.5999999999999999E-5</c:v>
                </c:pt>
                <c:pt idx="5">
                  <c:v>5.3000000000000001E-5</c:v>
                </c:pt>
                <c:pt idx="6">
                  <c:v>5.7000000000000003E-5</c:v>
                </c:pt>
                <c:pt idx="7">
                  <c:v>5.8E-5</c:v>
                </c:pt>
                <c:pt idx="8">
                  <c:v>5.8E-5</c:v>
                </c:pt>
                <c:pt idx="9">
                  <c:v>5.0000000000000002E-5</c:v>
                </c:pt>
                <c:pt idx="10">
                  <c:v>5.5000000000000002E-5</c:v>
                </c:pt>
                <c:pt idx="11">
                  <c:v>5.1E-5</c:v>
                </c:pt>
                <c:pt idx="12">
                  <c:v>4.8999999999999998E-5</c:v>
                </c:pt>
                <c:pt idx="13">
                  <c:v>5.0000000000000002E-5</c:v>
                </c:pt>
                <c:pt idx="14">
                  <c:v>4.1999999999999998E-5</c:v>
                </c:pt>
                <c:pt idx="15">
                  <c:v>4.1999999999999998E-5</c:v>
                </c:pt>
                <c:pt idx="16">
                  <c:v>4.8999999999999998E-5</c:v>
                </c:pt>
                <c:pt idx="17">
                  <c:v>4.8000000000000001E-5</c:v>
                </c:pt>
                <c:pt idx="18">
                  <c:v>5.0000000000000002E-5</c:v>
                </c:pt>
                <c:pt idx="19">
                  <c:v>5.5999999999999999E-5</c:v>
                </c:pt>
                <c:pt idx="20">
                  <c:v>6.2000000000000003E-5</c:v>
                </c:pt>
                <c:pt idx="21">
                  <c:v>5.8999999999999998E-5</c:v>
                </c:pt>
                <c:pt idx="22">
                  <c:v>5.7000000000000003E-5</c:v>
                </c:pt>
                <c:pt idx="23">
                  <c:v>6.0999999999999999E-5</c:v>
                </c:pt>
                <c:pt idx="24">
                  <c:v>6.0000000000000002E-5</c:v>
                </c:pt>
                <c:pt idx="25">
                  <c:v>6.0000000000000002E-5</c:v>
                </c:pt>
                <c:pt idx="26">
                  <c:v>5.3999999999999998E-5</c:v>
                </c:pt>
                <c:pt idx="27">
                  <c:v>5.5000000000000002E-5</c:v>
                </c:pt>
                <c:pt idx="28">
                  <c:v>4.6999999999999997E-5</c:v>
                </c:pt>
                <c:pt idx="29">
                  <c:v>4.8999999999999998E-5</c:v>
                </c:pt>
                <c:pt idx="30">
                  <c:v>4.5000000000000003E-5</c:v>
                </c:pt>
                <c:pt idx="31">
                  <c:v>4.6E-5</c:v>
                </c:pt>
                <c:pt idx="32">
                  <c:v>4.8999999999999998E-5</c:v>
                </c:pt>
                <c:pt idx="33">
                  <c:v>5.1999999999999997E-5</c:v>
                </c:pt>
                <c:pt idx="34">
                  <c:v>5.5999999999999999E-5</c:v>
                </c:pt>
                <c:pt idx="35">
                  <c:v>5.3999999999999998E-5</c:v>
                </c:pt>
                <c:pt idx="36">
                  <c:v>5.3999999999999998E-5</c:v>
                </c:pt>
                <c:pt idx="37">
                  <c:v>5.3999999999999998E-5</c:v>
                </c:pt>
                <c:pt idx="38">
                  <c:v>5.5000000000000002E-5</c:v>
                </c:pt>
                <c:pt idx="39">
                  <c:v>6.7000000000000002E-5</c:v>
                </c:pt>
                <c:pt idx="40">
                  <c:v>5.8E-5</c:v>
                </c:pt>
                <c:pt idx="41">
                  <c:v>6.0000000000000002E-5</c:v>
                </c:pt>
                <c:pt idx="42">
                  <c:v>5.8E-5</c:v>
                </c:pt>
                <c:pt idx="43">
                  <c:v>6.0000000000000002E-5</c:v>
                </c:pt>
                <c:pt idx="44">
                  <c:v>6.0999999999999999E-5</c:v>
                </c:pt>
                <c:pt idx="45">
                  <c:v>5.8E-5</c:v>
                </c:pt>
                <c:pt idx="46">
                  <c:v>5.7000000000000003E-5</c:v>
                </c:pt>
                <c:pt idx="47">
                  <c:v>6.4999999999999994E-5</c:v>
                </c:pt>
                <c:pt idx="48">
                  <c:v>6.0000000000000002E-5</c:v>
                </c:pt>
                <c:pt idx="49">
                  <c:v>6.2000000000000003E-5</c:v>
                </c:pt>
                <c:pt idx="50">
                  <c:v>5.8999999999999998E-5</c:v>
                </c:pt>
                <c:pt idx="51">
                  <c:v>6.0999999999999999E-5</c:v>
                </c:pt>
                <c:pt idx="52">
                  <c:v>6.3E-5</c:v>
                </c:pt>
                <c:pt idx="53">
                  <c:v>4.8999999999999998E-5</c:v>
                </c:pt>
                <c:pt idx="54">
                  <c:v>5.3000000000000001E-5</c:v>
                </c:pt>
                <c:pt idx="55">
                  <c:v>5.5000000000000002E-5</c:v>
                </c:pt>
                <c:pt idx="56">
                  <c:v>6.3E-5</c:v>
                </c:pt>
                <c:pt idx="57">
                  <c:v>6.0999999999999999E-5</c:v>
                </c:pt>
                <c:pt idx="58">
                  <c:v>6.2000000000000003E-5</c:v>
                </c:pt>
                <c:pt idx="59">
                  <c:v>6.0999999999999999E-5</c:v>
                </c:pt>
                <c:pt idx="60">
                  <c:v>6.4999999999999994E-5</c:v>
                </c:pt>
                <c:pt idx="61">
                  <c:v>6.3E-5</c:v>
                </c:pt>
                <c:pt idx="62">
                  <c:v>6.4999999999999994E-5</c:v>
                </c:pt>
                <c:pt idx="63">
                  <c:v>6.3999999999999997E-5</c:v>
                </c:pt>
                <c:pt idx="64">
                  <c:v>6.4999999999999994E-5</c:v>
                </c:pt>
                <c:pt idx="65">
                  <c:v>6.3E-5</c:v>
                </c:pt>
                <c:pt idx="66">
                  <c:v>6.6000000000000005E-5</c:v>
                </c:pt>
                <c:pt idx="67">
                  <c:v>6.2000000000000003E-5</c:v>
                </c:pt>
                <c:pt idx="68">
                  <c:v>6.6000000000000005E-5</c:v>
                </c:pt>
                <c:pt idx="69">
                  <c:v>6.4999999999999994E-5</c:v>
                </c:pt>
                <c:pt idx="70">
                  <c:v>6.4999999999999994E-5</c:v>
                </c:pt>
                <c:pt idx="71">
                  <c:v>6.2000000000000003E-5</c:v>
                </c:pt>
                <c:pt idx="72">
                  <c:v>6.7000000000000002E-5</c:v>
                </c:pt>
                <c:pt idx="73">
                  <c:v>6.6000000000000005E-5</c:v>
                </c:pt>
                <c:pt idx="74">
                  <c:v>6.8999999999999997E-5</c:v>
                </c:pt>
                <c:pt idx="75">
                  <c:v>6.4999999999999994E-5</c:v>
                </c:pt>
                <c:pt idx="76">
                  <c:v>7.2000000000000002E-5</c:v>
                </c:pt>
                <c:pt idx="77">
                  <c:v>7.2000000000000002E-5</c:v>
                </c:pt>
                <c:pt idx="78">
                  <c:v>7.3999999999999996E-5</c:v>
                </c:pt>
                <c:pt idx="79">
                  <c:v>7.3999999999999996E-5</c:v>
                </c:pt>
                <c:pt idx="80">
                  <c:v>7.3999999999999996E-5</c:v>
                </c:pt>
                <c:pt idx="81">
                  <c:v>7.7000000000000001E-5</c:v>
                </c:pt>
                <c:pt idx="82">
                  <c:v>8.0000000000000007E-5</c:v>
                </c:pt>
                <c:pt idx="83">
                  <c:v>7.7999999999999999E-5</c:v>
                </c:pt>
                <c:pt idx="84">
                  <c:v>8.0000000000000007E-5</c:v>
                </c:pt>
                <c:pt idx="85">
                  <c:v>7.7999999999999999E-5</c:v>
                </c:pt>
                <c:pt idx="86">
                  <c:v>7.7000000000000001E-5</c:v>
                </c:pt>
                <c:pt idx="87">
                  <c:v>7.8999999999999996E-5</c:v>
                </c:pt>
                <c:pt idx="88">
                  <c:v>7.8999999999999996E-5</c:v>
                </c:pt>
                <c:pt idx="89">
                  <c:v>8.0000000000000007E-5</c:v>
                </c:pt>
                <c:pt idx="90">
                  <c:v>8.1000000000000004E-5</c:v>
                </c:pt>
                <c:pt idx="91">
                  <c:v>7.8999999999999996E-5</c:v>
                </c:pt>
                <c:pt idx="92">
                  <c:v>7.6000000000000004E-5</c:v>
                </c:pt>
                <c:pt idx="93">
                  <c:v>7.8999999999999996E-5</c:v>
                </c:pt>
                <c:pt idx="94">
                  <c:v>7.6000000000000004E-5</c:v>
                </c:pt>
                <c:pt idx="95">
                  <c:v>7.3999999999999996E-5</c:v>
                </c:pt>
                <c:pt idx="96">
                  <c:v>6.7999999999999999E-5</c:v>
                </c:pt>
                <c:pt idx="97">
                  <c:v>6.7000000000000002E-5</c:v>
                </c:pt>
                <c:pt idx="98">
                  <c:v>7.8999999999999996E-5</c:v>
                </c:pt>
                <c:pt idx="99">
                  <c:v>8.1000000000000004E-5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D13-A14E-AA80-48BE79F0E5F7}"/>
            </c:ext>
          </c:extLst>
        </c:ser>
        <c:ser>
          <c:idx val="13"/>
          <c:order val="1"/>
          <c:tx>
            <c:v>Max</c:v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train_variate!$A$2:$A$101</c:f>
              <c:numCache>
                <c:formatCode>General</c:formatCode>
                <c:ptCount val="10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  <c:pt idx="20">
                  <c:v>10500</c:v>
                </c:pt>
                <c:pt idx="21">
                  <c:v>11000</c:v>
                </c:pt>
                <c:pt idx="22">
                  <c:v>11500</c:v>
                </c:pt>
                <c:pt idx="23">
                  <c:v>12000</c:v>
                </c:pt>
                <c:pt idx="24">
                  <c:v>12500</c:v>
                </c:pt>
                <c:pt idx="25">
                  <c:v>13000</c:v>
                </c:pt>
                <c:pt idx="26">
                  <c:v>13500</c:v>
                </c:pt>
                <c:pt idx="27">
                  <c:v>14000</c:v>
                </c:pt>
                <c:pt idx="28">
                  <c:v>14500</c:v>
                </c:pt>
                <c:pt idx="29">
                  <c:v>15000</c:v>
                </c:pt>
                <c:pt idx="30">
                  <c:v>15500</c:v>
                </c:pt>
                <c:pt idx="31">
                  <c:v>16000</c:v>
                </c:pt>
                <c:pt idx="32">
                  <c:v>16500</c:v>
                </c:pt>
                <c:pt idx="33">
                  <c:v>17000</c:v>
                </c:pt>
                <c:pt idx="34">
                  <c:v>17500</c:v>
                </c:pt>
                <c:pt idx="35">
                  <c:v>18000</c:v>
                </c:pt>
                <c:pt idx="36">
                  <c:v>18500</c:v>
                </c:pt>
                <c:pt idx="37">
                  <c:v>19000</c:v>
                </c:pt>
                <c:pt idx="38">
                  <c:v>19500</c:v>
                </c:pt>
                <c:pt idx="39">
                  <c:v>20000</c:v>
                </c:pt>
                <c:pt idx="40">
                  <c:v>20500</c:v>
                </c:pt>
                <c:pt idx="41">
                  <c:v>21000</c:v>
                </c:pt>
                <c:pt idx="42">
                  <c:v>21500</c:v>
                </c:pt>
                <c:pt idx="43">
                  <c:v>22000</c:v>
                </c:pt>
                <c:pt idx="44">
                  <c:v>22500</c:v>
                </c:pt>
                <c:pt idx="45">
                  <c:v>23000</c:v>
                </c:pt>
                <c:pt idx="46">
                  <c:v>23500</c:v>
                </c:pt>
                <c:pt idx="47">
                  <c:v>24000</c:v>
                </c:pt>
                <c:pt idx="48">
                  <c:v>24500</c:v>
                </c:pt>
                <c:pt idx="49">
                  <c:v>25000</c:v>
                </c:pt>
                <c:pt idx="50">
                  <c:v>25500</c:v>
                </c:pt>
                <c:pt idx="51">
                  <c:v>26000</c:v>
                </c:pt>
                <c:pt idx="52">
                  <c:v>26500</c:v>
                </c:pt>
                <c:pt idx="53">
                  <c:v>27000</c:v>
                </c:pt>
                <c:pt idx="54">
                  <c:v>27500</c:v>
                </c:pt>
                <c:pt idx="55">
                  <c:v>28000</c:v>
                </c:pt>
                <c:pt idx="56">
                  <c:v>28500</c:v>
                </c:pt>
                <c:pt idx="57">
                  <c:v>29000</c:v>
                </c:pt>
                <c:pt idx="58">
                  <c:v>29500</c:v>
                </c:pt>
                <c:pt idx="59">
                  <c:v>30000</c:v>
                </c:pt>
                <c:pt idx="60">
                  <c:v>30500</c:v>
                </c:pt>
                <c:pt idx="61">
                  <c:v>31000</c:v>
                </c:pt>
                <c:pt idx="62">
                  <c:v>31500</c:v>
                </c:pt>
                <c:pt idx="63">
                  <c:v>32000</c:v>
                </c:pt>
                <c:pt idx="64">
                  <c:v>32500</c:v>
                </c:pt>
                <c:pt idx="65">
                  <c:v>33000</c:v>
                </c:pt>
                <c:pt idx="66">
                  <c:v>33500</c:v>
                </c:pt>
                <c:pt idx="67">
                  <c:v>34000</c:v>
                </c:pt>
                <c:pt idx="68">
                  <c:v>34500</c:v>
                </c:pt>
                <c:pt idx="69">
                  <c:v>35000</c:v>
                </c:pt>
                <c:pt idx="70">
                  <c:v>35500</c:v>
                </c:pt>
                <c:pt idx="71">
                  <c:v>36000</c:v>
                </c:pt>
                <c:pt idx="72">
                  <c:v>36500</c:v>
                </c:pt>
                <c:pt idx="73">
                  <c:v>37000</c:v>
                </c:pt>
                <c:pt idx="74">
                  <c:v>37500</c:v>
                </c:pt>
                <c:pt idx="75">
                  <c:v>38000</c:v>
                </c:pt>
                <c:pt idx="76">
                  <c:v>38500</c:v>
                </c:pt>
                <c:pt idx="77">
                  <c:v>39000</c:v>
                </c:pt>
                <c:pt idx="78">
                  <c:v>39500</c:v>
                </c:pt>
                <c:pt idx="79">
                  <c:v>40000</c:v>
                </c:pt>
                <c:pt idx="80">
                  <c:v>40500</c:v>
                </c:pt>
                <c:pt idx="81">
                  <c:v>41000</c:v>
                </c:pt>
                <c:pt idx="82">
                  <c:v>41500</c:v>
                </c:pt>
                <c:pt idx="83">
                  <c:v>42000</c:v>
                </c:pt>
                <c:pt idx="84">
                  <c:v>42500</c:v>
                </c:pt>
                <c:pt idx="85">
                  <c:v>43000</c:v>
                </c:pt>
                <c:pt idx="86">
                  <c:v>43500</c:v>
                </c:pt>
                <c:pt idx="87">
                  <c:v>44000</c:v>
                </c:pt>
                <c:pt idx="88">
                  <c:v>44500</c:v>
                </c:pt>
                <c:pt idx="89">
                  <c:v>45000</c:v>
                </c:pt>
                <c:pt idx="90">
                  <c:v>45500</c:v>
                </c:pt>
                <c:pt idx="91">
                  <c:v>46000</c:v>
                </c:pt>
                <c:pt idx="92">
                  <c:v>46500</c:v>
                </c:pt>
                <c:pt idx="93">
                  <c:v>47000</c:v>
                </c:pt>
                <c:pt idx="94">
                  <c:v>47500</c:v>
                </c:pt>
                <c:pt idx="95">
                  <c:v>48000</c:v>
                </c:pt>
                <c:pt idx="96">
                  <c:v>48500</c:v>
                </c:pt>
                <c:pt idx="97">
                  <c:v>49000</c:v>
                </c:pt>
                <c:pt idx="98">
                  <c:v>49500</c:v>
                </c:pt>
                <c:pt idx="99">
                  <c:v>50000</c:v>
                </c:pt>
              </c:numCache>
            </c:numRef>
          </c:cat>
          <c:val>
            <c:numRef>
              <c:f>train_variate!$N$2:$N$101</c:f>
              <c:numCache>
                <c:formatCode>General</c:formatCode>
                <c:ptCount val="100"/>
                <c:pt idx="0">
                  <c:v>4.8999999999999998E-5</c:v>
                </c:pt>
                <c:pt idx="1">
                  <c:v>6.0999999999999999E-5</c:v>
                </c:pt>
                <c:pt idx="2">
                  <c:v>5.8999999999999998E-5</c:v>
                </c:pt>
                <c:pt idx="3">
                  <c:v>6.9999999999999994E-5</c:v>
                </c:pt>
                <c:pt idx="4">
                  <c:v>6.3999999999999997E-5</c:v>
                </c:pt>
                <c:pt idx="5">
                  <c:v>6.3E-5</c:v>
                </c:pt>
                <c:pt idx="6">
                  <c:v>7.2000000000000002E-5</c:v>
                </c:pt>
                <c:pt idx="7">
                  <c:v>6.8999999999999997E-5</c:v>
                </c:pt>
                <c:pt idx="8">
                  <c:v>7.4999999999999993E-5</c:v>
                </c:pt>
                <c:pt idx="9">
                  <c:v>6.6000000000000005E-5</c:v>
                </c:pt>
                <c:pt idx="10">
                  <c:v>7.6000000000000004E-5</c:v>
                </c:pt>
                <c:pt idx="11">
                  <c:v>6.0999999999999999E-5</c:v>
                </c:pt>
                <c:pt idx="12">
                  <c:v>5.5999999999999999E-5</c:v>
                </c:pt>
                <c:pt idx="13">
                  <c:v>6.3E-5</c:v>
                </c:pt>
                <c:pt idx="14">
                  <c:v>5.8E-5</c:v>
                </c:pt>
                <c:pt idx="15">
                  <c:v>6.2000000000000003E-5</c:v>
                </c:pt>
                <c:pt idx="16">
                  <c:v>6.2000000000000003E-5</c:v>
                </c:pt>
                <c:pt idx="17">
                  <c:v>5.5000000000000002E-5</c:v>
                </c:pt>
                <c:pt idx="18">
                  <c:v>5.1999999999999997E-5</c:v>
                </c:pt>
                <c:pt idx="19">
                  <c:v>7.3999999999999996E-5</c:v>
                </c:pt>
                <c:pt idx="20">
                  <c:v>7.4999999999999993E-5</c:v>
                </c:pt>
                <c:pt idx="21">
                  <c:v>7.7000000000000001E-5</c:v>
                </c:pt>
                <c:pt idx="22">
                  <c:v>6.8999999999999997E-5</c:v>
                </c:pt>
                <c:pt idx="23">
                  <c:v>8.0000000000000007E-5</c:v>
                </c:pt>
                <c:pt idx="24">
                  <c:v>6.9999999999999994E-5</c:v>
                </c:pt>
                <c:pt idx="25">
                  <c:v>7.8999999999999996E-5</c:v>
                </c:pt>
                <c:pt idx="26">
                  <c:v>6.7999999999999999E-5</c:v>
                </c:pt>
                <c:pt idx="27">
                  <c:v>6.8999999999999997E-5</c:v>
                </c:pt>
                <c:pt idx="28">
                  <c:v>5.7000000000000003E-5</c:v>
                </c:pt>
                <c:pt idx="29">
                  <c:v>5.8999999999999998E-5</c:v>
                </c:pt>
                <c:pt idx="30">
                  <c:v>5.8E-5</c:v>
                </c:pt>
                <c:pt idx="31">
                  <c:v>5.5999999999999999E-5</c:v>
                </c:pt>
                <c:pt idx="32">
                  <c:v>7.2999999999999999E-5</c:v>
                </c:pt>
                <c:pt idx="33">
                  <c:v>6.8999999999999997E-5</c:v>
                </c:pt>
                <c:pt idx="34">
                  <c:v>6.6000000000000005E-5</c:v>
                </c:pt>
                <c:pt idx="35">
                  <c:v>6.4999999999999994E-5</c:v>
                </c:pt>
                <c:pt idx="36">
                  <c:v>7.2999999999999999E-5</c:v>
                </c:pt>
                <c:pt idx="37">
                  <c:v>6.6000000000000005E-5</c:v>
                </c:pt>
                <c:pt idx="38">
                  <c:v>7.2000000000000002E-5</c:v>
                </c:pt>
                <c:pt idx="39">
                  <c:v>8.1000000000000004E-5</c:v>
                </c:pt>
                <c:pt idx="40">
                  <c:v>7.2000000000000002E-5</c:v>
                </c:pt>
                <c:pt idx="41">
                  <c:v>7.7000000000000001E-5</c:v>
                </c:pt>
                <c:pt idx="42">
                  <c:v>6.9999999999999994E-5</c:v>
                </c:pt>
                <c:pt idx="43">
                  <c:v>6.3E-5</c:v>
                </c:pt>
                <c:pt idx="44">
                  <c:v>7.6000000000000004E-5</c:v>
                </c:pt>
                <c:pt idx="45">
                  <c:v>7.2000000000000002E-5</c:v>
                </c:pt>
                <c:pt idx="46">
                  <c:v>6.8999999999999997E-5</c:v>
                </c:pt>
                <c:pt idx="47">
                  <c:v>7.3999999999999996E-5</c:v>
                </c:pt>
                <c:pt idx="48">
                  <c:v>7.4999999999999993E-5</c:v>
                </c:pt>
                <c:pt idx="49">
                  <c:v>7.3999999999999996E-5</c:v>
                </c:pt>
                <c:pt idx="50">
                  <c:v>7.2999999999999999E-5</c:v>
                </c:pt>
                <c:pt idx="51">
                  <c:v>7.3999999999999996E-5</c:v>
                </c:pt>
                <c:pt idx="52">
                  <c:v>6.8999999999999997E-5</c:v>
                </c:pt>
                <c:pt idx="53">
                  <c:v>6.7000000000000002E-5</c:v>
                </c:pt>
                <c:pt idx="54">
                  <c:v>6.9999999999999994E-5</c:v>
                </c:pt>
                <c:pt idx="55">
                  <c:v>7.1000000000000005E-5</c:v>
                </c:pt>
                <c:pt idx="56">
                  <c:v>6.9999999999999994E-5</c:v>
                </c:pt>
                <c:pt idx="57">
                  <c:v>6.7000000000000002E-5</c:v>
                </c:pt>
                <c:pt idx="58">
                  <c:v>7.4999999999999993E-5</c:v>
                </c:pt>
                <c:pt idx="59">
                  <c:v>6.7999999999999999E-5</c:v>
                </c:pt>
                <c:pt idx="60">
                  <c:v>6.8999999999999997E-5</c:v>
                </c:pt>
                <c:pt idx="61">
                  <c:v>8.2999999999999998E-5</c:v>
                </c:pt>
                <c:pt idx="62">
                  <c:v>9.1000000000000003E-5</c:v>
                </c:pt>
                <c:pt idx="63">
                  <c:v>8.2999999999999998E-5</c:v>
                </c:pt>
                <c:pt idx="64">
                  <c:v>7.8999999999999996E-5</c:v>
                </c:pt>
                <c:pt idx="65">
                  <c:v>8.0000000000000007E-5</c:v>
                </c:pt>
                <c:pt idx="66">
                  <c:v>8.3999999999999995E-5</c:v>
                </c:pt>
                <c:pt idx="67">
                  <c:v>7.3999999999999996E-5</c:v>
                </c:pt>
                <c:pt idx="68">
                  <c:v>8.2000000000000001E-5</c:v>
                </c:pt>
                <c:pt idx="69">
                  <c:v>8.1000000000000004E-5</c:v>
                </c:pt>
                <c:pt idx="70">
                  <c:v>7.7000000000000001E-5</c:v>
                </c:pt>
                <c:pt idx="71">
                  <c:v>7.2999999999999999E-5</c:v>
                </c:pt>
                <c:pt idx="72">
                  <c:v>8.1000000000000004E-5</c:v>
                </c:pt>
                <c:pt idx="73">
                  <c:v>7.2999999999999999E-5</c:v>
                </c:pt>
                <c:pt idx="74">
                  <c:v>9.2E-5</c:v>
                </c:pt>
                <c:pt idx="75">
                  <c:v>7.3999999999999996E-5</c:v>
                </c:pt>
                <c:pt idx="76">
                  <c:v>8.3999999999999995E-5</c:v>
                </c:pt>
                <c:pt idx="77">
                  <c:v>8.8999999999999995E-5</c:v>
                </c:pt>
                <c:pt idx="78">
                  <c:v>8.8999999999999995E-5</c:v>
                </c:pt>
                <c:pt idx="79">
                  <c:v>9.0000000000000006E-5</c:v>
                </c:pt>
                <c:pt idx="80">
                  <c:v>9.2E-5</c:v>
                </c:pt>
                <c:pt idx="81">
                  <c:v>8.8999999999999995E-5</c:v>
                </c:pt>
                <c:pt idx="82">
                  <c:v>9.3999999999999994E-5</c:v>
                </c:pt>
                <c:pt idx="83">
                  <c:v>9.1000000000000003E-5</c:v>
                </c:pt>
                <c:pt idx="84">
                  <c:v>9.7E-5</c:v>
                </c:pt>
                <c:pt idx="85">
                  <c:v>9.1000000000000003E-5</c:v>
                </c:pt>
                <c:pt idx="86">
                  <c:v>9.6000000000000002E-5</c:v>
                </c:pt>
                <c:pt idx="87">
                  <c:v>9.2999999999999997E-5</c:v>
                </c:pt>
                <c:pt idx="88">
                  <c:v>9.5000000000000005E-5</c:v>
                </c:pt>
                <c:pt idx="89">
                  <c:v>9.3999999999999994E-5</c:v>
                </c:pt>
                <c:pt idx="90">
                  <c:v>9.5000000000000005E-5</c:v>
                </c:pt>
                <c:pt idx="91">
                  <c:v>8.2999999999999998E-5</c:v>
                </c:pt>
                <c:pt idx="92">
                  <c:v>8.7999999999999998E-5</c:v>
                </c:pt>
                <c:pt idx="93">
                  <c:v>9.2E-5</c:v>
                </c:pt>
                <c:pt idx="94">
                  <c:v>9.0000000000000006E-5</c:v>
                </c:pt>
                <c:pt idx="95">
                  <c:v>9.5000000000000005E-5</c:v>
                </c:pt>
                <c:pt idx="96">
                  <c:v>9.0000000000000006E-5</c:v>
                </c:pt>
                <c:pt idx="97">
                  <c:v>8.7000000000000001E-5</c:v>
                </c:pt>
                <c:pt idx="98">
                  <c:v>8.5000000000000006E-5</c:v>
                </c:pt>
                <c:pt idx="99">
                  <c:v>1.02E-4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D13-A14E-AA80-48BE79F0E5F7}"/>
            </c:ext>
          </c:extLst>
        </c:ser>
        <c:ser>
          <c:idx val="14"/>
          <c:order val="2"/>
          <c:tx>
            <c:v>Promedio</c:v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train_variate!$A$2:$A$101</c:f>
              <c:numCache>
                <c:formatCode>General</c:formatCode>
                <c:ptCount val="10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  <c:pt idx="20">
                  <c:v>10500</c:v>
                </c:pt>
                <c:pt idx="21">
                  <c:v>11000</c:v>
                </c:pt>
                <c:pt idx="22">
                  <c:v>11500</c:v>
                </c:pt>
                <c:pt idx="23">
                  <c:v>12000</c:v>
                </c:pt>
                <c:pt idx="24">
                  <c:v>12500</c:v>
                </c:pt>
                <c:pt idx="25">
                  <c:v>13000</c:v>
                </c:pt>
                <c:pt idx="26">
                  <c:v>13500</c:v>
                </c:pt>
                <c:pt idx="27">
                  <c:v>14000</c:v>
                </c:pt>
                <c:pt idx="28">
                  <c:v>14500</c:v>
                </c:pt>
                <c:pt idx="29">
                  <c:v>15000</c:v>
                </c:pt>
                <c:pt idx="30">
                  <c:v>15500</c:v>
                </c:pt>
                <c:pt idx="31">
                  <c:v>16000</c:v>
                </c:pt>
                <c:pt idx="32">
                  <c:v>16500</c:v>
                </c:pt>
                <c:pt idx="33">
                  <c:v>17000</c:v>
                </c:pt>
                <c:pt idx="34">
                  <c:v>17500</c:v>
                </c:pt>
                <c:pt idx="35">
                  <c:v>18000</c:v>
                </c:pt>
                <c:pt idx="36">
                  <c:v>18500</c:v>
                </c:pt>
                <c:pt idx="37">
                  <c:v>19000</c:v>
                </c:pt>
                <c:pt idx="38">
                  <c:v>19500</c:v>
                </c:pt>
                <c:pt idx="39">
                  <c:v>20000</c:v>
                </c:pt>
                <c:pt idx="40">
                  <c:v>20500</c:v>
                </c:pt>
                <c:pt idx="41">
                  <c:v>21000</c:v>
                </c:pt>
                <c:pt idx="42">
                  <c:v>21500</c:v>
                </c:pt>
                <c:pt idx="43">
                  <c:v>22000</c:v>
                </c:pt>
                <c:pt idx="44">
                  <c:v>22500</c:v>
                </c:pt>
                <c:pt idx="45">
                  <c:v>23000</c:v>
                </c:pt>
                <c:pt idx="46">
                  <c:v>23500</c:v>
                </c:pt>
                <c:pt idx="47">
                  <c:v>24000</c:v>
                </c:pt>
                <c:pt idx="48">
                  <c:v>24500</c:v>
                </c:pt>
                <c:pt idx="49">
                  <c:v>25000</c:v>
                </c:pt>
                <c:pt idx="50">
                  <c:v>25500</c:v>
                </c:pt>
                <c:pt idx="51">
                  <c:v>26000</c:v>
                </c:pt>
                <c:pt idx="52">
                  <c:v>26500</c:v>
                </c:pt>
                <c:pt idx="53">
                  <c:v>27000</c:v>
                </c:pt>
                <c:pt idx="54">
                  <c:v>27500</c:v>
                </c:pt>
                <c:pt idx="55">
                  <c:v>28000</c:v>
                </c:pt>
                <c:pt idx="56">
                  <c:v>28500</c:v>
                </c:pt>
                <c:pt idx="57">
                  <c:v>29000</c:v>
                </c:pt>
                <c:pt idx="58">
                  <c:v>29500</c:v>
                </c:pt>
                <c:pt idx="59">
                  <c:v>30000</c:v>
                </c:pt>
                <c:pt idx="60">
                  <c:v>30500</c:v>
                </c:pt>
                <c:pt idx="61">
                  <c:v>31000</c:v>
                </c:pt>
                <c:pt idx="62">
                  <c:v>31500</c:v>
                </c:pt>
                <c:pt idx="63">
                  <c:v>32000</c:v>
                </c:pt>
                <c:pt idx="64">
                  <c:v>32500</c:v>
                </c:pt>
                <c:pt idx="65">
                  <c:v>33000</c:v>
                </c:pt>
                <c:pt idx="66">
                  <c:v>33500</c:v>
                </c:pt>
                <c:pt idx="67">
                  <c:v>34000</c:v>
                </c:pt>
                <c:pt idx="68">
                  <c:v>34500</c:v>
                </c:pt>
                <c:pt idx="69">
                  <c:v>35000</c:v>
                </c:pt>
                <c:pt idx="70">
                  <c:v>35500</c:v>
                </c:pt>
                <c:pt idx="71">
                  <c:v>36000</c:v>
                </c:pt>
                <c:pt idx="72">
                  <c:v>36500</c:v>
                </c:pt>
                <c:pt idx="73">
                  <c:v>37000</c:v>
                </c:pt>
                <c:pt idx="74">
                  <c:v>37500</c:v>
                </c:pt>
                <c:pt idx="75">
                  <c:v>38000</c:v>
                </c:pt>
                <c:pt idx="76">
                  <c:v>38500</c:v>
                </c:pt>
                <c:pt idx="77">
                  <c:v>39000</c:v>
                </c:pt>
                <c:pt idx="78">
                  <c:v>39500</c:v>
                </c:pt>
                <c:pt idx="79">
                  <c:v>40000</c:v>
                </c:pt>
                <c:pt idx="80">
                  <c:v>40500</c:v>
                </c:pt>
                <c:pt idx="81">
                  <c:v>41000</c:v>
                </c:pt>
                <c:pt idx="82">
                  <c:v>41500</c:v>
                </c:pt>
                <c:pt idx="83">
                  <c:v>42000</c:v>
                </c:pt>
                <c:pt idx="84">
                  <c:v>42500</c:v>
                </c:pt>
                <c:pt idx="85">
                  <c:v>43000</c:v>
                </c:pt>
                <c:pt idx="86">
                  <c:v>43500</c:v>
                </c:pt>
                <c:pt idx="87">
                  <c:v>44000</c:v>
                </c:pt>
                <c:pt idx="88">
                  <c:v>44500</c:v>
                </c:pt>
                <c:pt idx="89">
                  <c:v>45000</c:v>
                </c:pt>
                <c:pt idx="90">
                  <c:v>45500</c:v>
                </c:pt>
                <c:pt idx="91">
                  <c:v>46000</c:v>
                </c:pt>
                <c:pt idx="92">
                  <c:v>46500</c:v>
                </c:pt>
                <c:pt idx="93">
                  <c:v>47000</c:v>
                </c:pt>
                <c:pt idx="94">
                  <c:v>47500</c:v>
                </c:pt>
                <c:pt idx="95">
                  <c:v>48000</c:v>
                </c:pt>
                <c:pt idx="96">
                  <c:v>48500</c:v>
                </c:pt>
                <c:pt idx="97">
                  <c:v>49000</c:v>
                </c:pt>
                <c:pt idx="98">
                  <c:v>49500</c:v>
                </c:pt>
                <c:pt idx="99">
                  <c:v>50000</c:v>
                </c:pt>
              </c:numCache>
            </c:numRef>
          </c:cat>
          <c:val>
            <c:numRef>
              <c:f>train_variate!$O$2:$O$101</c:f>
              <c:numCache>
                <c:formatCode>General</c:formatCode>
                <c:ptCount val="100"/>
                <c:pt idx="0">
                  <c:v>4.3400000000000005E-5</c:v>
                </c:pt>
                <c:pt idx="1">
                  <c:v>5.2599999999999998E-5</c:v>
                </c:pt>
                <c:pt idx="2">
                  <c:v>5.3200000000000006E-5</c:v>
                </c:pt>
                <c:pt idx="3">
                  <c:v>5.7999999999999987E-5</c:v>
                </c:pt>
                <c:pt idx="4">
                  <c:v>5.8699999999999997E-5</c:v>
                </c:pt>
                <c:pt idx="5">
                  <c:v>5.7200000000000001E-5</c:v>
                </c:pt>
                <c:pt idx="6">
                  <c:v>6.1299999999999999E-5</c:v>
                </c:pt>
                <c:pt idx="7">
                  <c:v>6.2199999999999994E-5</c:v>
                </c:pt>
                <c:pt idx="8">
                  <c:v>6.5099999999999983E-5</c:v>
                </c:pt>
                <c:pt idx="9">
                  <c:v>5.5400000000000005E-5</c:v>
                </c:pt>
                <c:pt idx="10">
                  <c:v>6.5200000000000013E-5</c:v>
                </c:pt>
                <c:pt idx="11">
                  <c:v>5.6299999999999993E-5</c:v>
                </c:pt>
                <c:pt idx="12">
                  <c:v>5.13E-5</c:v>
                </c:pt>
                <c:pt idx="13">
                  <c:v>5.7299999999999997E-5</c:v>
                </c:pt>
                <c:pt idx="14">
                  <c:v>4.7800000000000003E-5</c:v>
                </c:pt>
                <c:pt idx="15">
                  <c:v>5.3700000000000004E-5</c:v>
                </c:pt>
                <c:pt idx="16">
                  <c:v>5.1900000000000001E-5</c:v>
                </c:pt>
                <c:pt idx="17">
                  <c:v>4.99E-5</c:v>
                </c:pt>
                <c:pt idx="18">
                  <c:v>5.1000000000000006E-5</c:v>
                </c:pt>
                <c:pt idx="19">
                  <c:v>6.4499999999999996E-5</c:v>
                </c:pt>
                <c:pt idx="20">
                  <c:v>6.6100000000000007E-5</c:v>
                </c:pt>
                <c:pt idx="21">
                  <c:v>6.2000000000000003E-5</c:v>
                </c:pt>
                <c:pt idx="22">
                  <c:v>6.0599999999999996E-5</c:v>
                </c:pt>
                <c:pt idx="23">
                  <c:v>6.4899999999999992E-5</c:v>
                </c:pt>
                <c:pt idx="24">
                  <c:v>6.2699999999999993E-5</c:v>
                </c:pt>
                <c:pt idx="25">
                  <c:v>6.4200000000000016E-5</c:v>
                </c:pt>
                <c:pt idx="26">
                  <c:v>5.9000000000000004E-5</c:v>
                </c:pt>
                <c:pt idx="27">
                  <c:v>6.2799999999999995E-5</c:v>
                </c:pt>
                <c:pt idx="28">
                  <c:v>4.9799999999999998E-5</c:v>
                </c:pt>
                <c:pt idx="29">
                  <c:v>5.3600000000000002E-5</c:v>
                </c:pt>
                <c:pt idx="30">
                  <c:v>4.8600000000000002E-5</c:v>
                </c:pt>
                <c:pt idx="31">
                  <c:v>4.8899999999999996E-5</c:v>
                </c:pt>
                <c:pt idx="32">
                  <c:v>6.0999999999999999E-5</c:v>
                </c:pt>
                <c:pt idx="33">
                  <c:v>5.7200000000000001E-5</c:v>
                </c:pt>
                <c:pt idx="34">
                  <c:v>6.0000000000000008E-5</c:v>
                </c:pt>
                <c:pt idx="35">
                  <c:v>5.6100000000000008E-5</c:v>
                </c:pt>
                <c:pt idx="36">
                  <c:v>6.3500000000000012E-5</c:v>
                </c:pt>
                <c:pt idx="37">
                  <c:v>5.94E-5</c:v>
                </c:pt>
                <c:pt idx="38">
                  <c:v>6.3499999999999999E-5</c:v>
                </c:pt>
                <c:pt idx="39">
                  <c:v>7.0699999999999997E-5</c:v>
                </c:pt>
                <c:pt idx="40">
                  <c:v>6.2000000000000003E-5</c:v>
                </c:pt>
                <c:pt idx="41">
                  <c:v>6.7200000000000007E-5</c:v>
                </c:pt>
                <c:pt idx="42">
                  <c:v>6.2799999999999995E-5</c:v>
                </c:pt>
                <c:pt idx="43">
                  <c:v>6.1700000000000009E-5</c:v>
                </c:pt>
                <c:pt idx="44">
                  <c:v>6.6100000000000007E-5</c:v>
                </c:pt>
                <c:pt idx="45">
                  <c:v>6.3499999999999999E-5</c:v>
                </c:pt>
                <c:pt idx="46">
                  <c:v>6.2700000000000006E-5</c:v>
                </c:pt>
                <c:pt idx="47">
                  <c:v>6.7699999999999992E-5</c:v>
                </c:pt>
                <c:pt idx="48">
                  <c:v>6.5599999999999995E-5</c:v>
                </c:pt>
                <c:pt idx="49">
                  <c:v>6.4599999999999998E-5</c:v>
                </c:pt>
                <c:pt idx="50">
                  <c:v>6.58E-5</c:v>
                </c:pt>
                <c:pt idx="51">
                  <c:v>6.4699999999999987E-5</c:v>
                </c:pt>
                <c:pt idx="52">
                  <c:v>6.58E-5</c:v>
                </c:pt>
                <c:pt idx="53">
                  <c:v>5.3600000000000002E-5</c:v>
                </c:pt>
                <c:pt idx="54">
                  <c:v>5.7800000000000009E-5</c:v>
                </c:pt>
                <c:pt idx="55">
                  <c:v>6.1700000000000009E-5</c:v>
                </c:pt>
                <c:pt idx="56">
                  <c:v>6.5299999999999988E-5</c:v>
                </c:pt>
                <c:pt idx="57">
                  <c:v>6.3800000000000006E-5</c:v>
                </c:pt>
                <c:pt idx="58">
                  <c:v>6.7999999999999999E-5</c:v>
                </c:pt>
                <c:pt idx="59">
                  <c:v>6.4599999999999985E-5</c:v>
                </c:pt>
                <c:pt idx="60">
                  <c:v>6.7199999999999994E-5</c:v>
                </c:pt>
                <c:pt idx="61">
                  <c:v>6.7999999999999999E-5</c:v>
                </c:pt>
                <c:pt idx="62">
                  <c:v>7.4099999999999999E-5</c:v>
                </c:pt>
                <c:pt idx="63">
                  <c:v>6.8799999999999992E-5</c:v>
                </c:pt>
                <c:pt idx="64">
                  <c:v>7.0199999999999999E-5</c:v>
                </c:pt>
                <c:pt idx="65">
                  <c:v>6.86E-5</c:v>
                </c:pt>
                <c:pt idx="66">
                  <c:v>7.1300000000000012E-5</c:v>
                </c:pt>
                <c:pt idx="67">
                  <c:v>6.5900000000000003E-5</c:v>
                </c:pt>
                <c:pt idx="68">
                  <c:v>7.08E-5</c:v>
                </c:pt>
                <c:pt idx="69">
                  <c:v>7.2800000000000008E-5</c:v>
                </c:pt>
                <c:pt idx="70">
                  <c:v>7.0099999999999996E-5</c:v>
                </c:pt>
                <c:pt idx="71">
                  <c:v>6.5500000000000006E-5</c:v>
                </c:pt>
                <c:pt idx="72">
                  <c:v>7.0499999999999992E-5</c:v>
                </c:pt>
                <c:pt idx="73">
                  <c:v>6.7899999999999997E-5</c:v>
                </c:pt>
                <c:pt idx="74">
                  <c:v>7.6500000000000003E-5</c:v>
                </c:pt>
                <c:pt idx="75">
                  <c:v>6.8199999999999991E-5</c:v>
                </c:pt>
                <c:pt idx="76">
                  <c:v>7.6699999999999994E-5</c:v>
                </c:pt>
                <c:pt idx="77">
                  <c:v>7.5299999999999987E-5</c:v>
                </c:pt>
                <c:pt idx="78">
                  <c:v>7.7699999999999991E-5</c:v>
                </c:pt>
                <c:pt idx="79">
                  <c:v>7.7600000000000002E-5</c:v>
                </c:pt>
                <c:pt idx="80">
                  <c:v>8.14E-5</c:v>
                </c:pt>
                <c:pt idx="81">
                  <c:v>7.9499999999999994E-5</c:v>
                </c:pt>
                <c:pt idx="82">
                  <c:v>8.4999999999999993E-5</c:v>
                </c:pt>
                <c:pt idx="83">
                  <c:v>8.2700000000000004E-5</c:v>
                </c:pt>
                <c:pt idx="84">
                  <c:v>8.3900000000000006E-5</c:v>
                </c:pt>
                <c:pt idx="85">
                  <c:v>8.1000000000000004E-5</c:v>
                </c:pt>
                <c:pt idx="86">
                  <c:v>8.2900000000000009E-5</c:v>
                </c:pt>
                <c:pt idx="87">
                  <c:v>8.25E-5</c:v>
                </c:pt>
                <c:pt idx="88">
                  <c:v>8.2300000000000008E-5</c:v>
                </c:pt>
                <c:pt idx="89">
                  <c:v>8.3800000000000004E-5</c:v>
                </c:pt>
                <c:pt idx="90">
                  <c:v>8.4300000000000016E-5</c:v>
                </c:pt>
                <c:pt idx="91">
                  <c:v>8.0699999999999996E-5</c:v>
                </c:pt>
                <c:pt idx="92">
                  <c:v>7.9200000000000001E-5</c:v>
                </c:pt>
                <c:pt idx="93">
                  <c:v>8.2700000000000004E-5</c:v>
                </c:pt>
                <c:pt idx="94">
                  <c:v>8.0100000000000009E-5</c:v>
                </c:pt>
                <c:pt idx="95">
                  <c:v>8.0500000000000005E-5</c:v>
                </c:pt>
                <c:pt idx="96">
                  <c:v>7.7100000000000004E-5</c:v>
                </c:pt>
                <c:pt idx="97">
                  <c:v>7.6899999999999999E-5</c:v>
                </c:pt>
                <c:pt idx="98">
                  <c:v>8.279999999999998E-5</c:v>
                </c:pt>
                <c:pt idx="99">
                  <c:v>8.9599999999999996E-5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D13-A14E-AA80-48BE79F0E5F7}"/>
            </c:ext>
          </c:extLst>
        </c:ser>
        <c:ser>
          <c:idx val="15"/>
          <c:order val="3"/>
          <c:tx>
            <c:v>Teórico</c:v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train_variate!$A$2:$A$101</c:f>
              <c:numCache>
                <c:formatCode>General</c:formatCode>
                <c:ptCount val="100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  <c:pt idx="20">
                  <c:v>10500</c:v>
                </c:pt>
                <c:pt idx="21">
                  <c:v>11000</c:v>
                </c:pt>
                <c:pt idx="22">
                  <c:v>11500</c:v>
                </c:pt>
                <c:pt idx="23">
                  <c:v>12000</c:v>
                </c:pt>
                <c:pt idx="24">
                  <c:v>12500</c:v>
                </c:pt>
                <c:pt idx="25">
                  <c:v>13000</c:v>
                </c:pt>
                <c:pt idx="26">
                  <c:v>13500</c:v>
                </c:pt>
                <c:pt idx="27">
                  <c:v>14000</c:v>
                </c:pt>
                <c:pt idx="28">
                  <c:v>14500</c:v>
                </c:pt>
                <c:pt idx="29">
                  <c:v>15000</c:v>
                </c:pt>
                <c:pt idx="30">
                  <c:v>15500</c:v>
                </c:pt>
                <c:pt idx="31">
                  <c:v>16000</c:v>
                </c:pt>
                <c:pt idx="32">
                  <c:v>16500</c:v>
                </c:pt>
                <c:pt idx="33">
                  <c:v>17000</c:v>
                </c:pt>
                <c:pt idx="34">
                  <c:v>17500</c:v>
                </c:pt>
                <c:pt idx="35">
                  <c:v>18000</c:v>
                </c:pt>
                <c:pt idx="36">
                  <c:v>18500</c:v>
                </c:pt>
                <c:pt idx="37">
                  <c:v>19000</c:v>
                </c:pt>
                <c:pt idx="38">
                  <c:v>19500</c:v>
                </c:pt>
                <c:pt idx="39">
                  <c:v>20000</c:v>
                </c:pt>
                <c:pt idx="40">
                  <c:v>20500</c:v>
                </c:pt>
                <c:pt idx="41">
                  <c:v>21000</c:v>
                </c:pt>
                <c:pt idx="42">
                  <c:v>21500</c:v>
                </c:pt>
                <c:pt idx="43">
                  <c:v>22000</c:v>
                </c:pt>
                <c:pt idx="44">
                  <c:v>22500</c:v>
                </c:pt>
                <c:pt idx="45">
                  <c:v>23000</c:v>
                </c:pt>
                <c:pt idx="46">
                  <c:v>23500</c:v>
                </c:pt>
                <c:pt idx="47">
                  <c:v>24000</c:v>
                </c:pt>
                <c:pt idx="48">
                  <c:v>24500</c:v>
                </c:pt>
                <c:pt idx="49">
                  <c:v>25000</c:v>
                </c:pt>
                <c:pt idx="50">
                  <c:v>25500</c:v>
                </c:pt>
                <c:pt idx="51">
                  <c:v>26000</c:v>
                </c:pt>
                <c:pt idx="52">
                  <c:v>26500</c:v>
                </c:pt>
                <c:pt idx="53">
                  <c:v>27000</c:v>
                </c:pt>
                <c:pt idx="54">
                  <c:v>27500</c:v>
                </c:pt>
                <c:pt idx="55">
                  <c:v>28000</c:v>
                </c:pt>
                <c:pt idx="56">
                  <c:v>28500</c:v>
                </c:pt>
                <c:pt idx="57">
                  <c:v>29000</c:v>
                </c:pt>
                <c:pt idx="58">
                  <c:v>29500</c:v>
                </c:pt>
                <c:pt idx="59">
                  <c:v>30000</c:v>
                </c:pt>
                <c:pt idx="60">
                  <c:v>30500</c:v>
                </c:pt>
                <c:pt idx="61">
                  <c:v>31000</c:v>
                </c:pt>
                <c:pt idx="62">
                  <c:v>31500</c:v>
                </c:pt>
                <c:pt idx="63">
                  <c:v>32000</c:v>
                </c:pt>
                <c:pt idx="64">
                  <c:v>32500</c:v>
                </c:pt>
                <c:pt idx="65">
                  <c:v>33000</c:v>
                </c:pt>
                <c:pt idx="66">
                  <c:v>33500</c:v>
                </c:pt>
                <c:pt idx="67">
                  <c:v>34000</c:v>
                </c:pt>
                <c:pt idx="68">
                  <c:v>34500</c:v>
                </c:pt>
                <c:pt idx="69">
                  <c:v>35000</c:v>
                </c:pt>
                <c:pt idx="70">
                  <c:v>35500</c:v>
                </c:pt>
                <c:pt idx="71">
                  <c:v>36000</c:v>
                </c:pt>
                <c:pt idx="72">
                  <c:v>36500</c:v>
                </c:pt>
                <c:pt idx="73">
                  <c:v>37000</c:v>
                </c:pt>
                <c:pt idx="74">
                  <c:v>37500</c:v>
                </c:pt>
                <c:pt idx="75">
                  <c:v>38000</c:v>
                </c:pt>
                <c:pt idx="76">
                  <c:v>38500</c:v>
                </c:pt>
                <c:pt idx="77">
                  <c:v>39000</c:v>
                </c:pt>
                <c:pt idx="78">
                  <c:v>39500</c:v>
                </c:pt>
                <c:pt idx="79">
                  <c:v>40000</c:v>
                </c:pt>
                <c:pt idx="80">
                  <c:v>40500</c:v>
                </c:pt>
                <c:pt idx="81">
                  <c:v>41000</c:v>
                </c:pt>
                <c:pt idx="82">
                  <c:v>41500</c:v>
                </c:pt>
                <c:pt idx="83">
                  <c:v>42000</c:v>
                </c:pt>
                <c:pt idx="84">
                  <c:v>42500</c:v>
                </c:pt>
                <c:pt idx="85">
                  <c:v>43000</c:v>
                </c:pt>
                <c:pt idx="86">
                  <c:v>43500</c:v>
                </c:pt>
                <c:pt idx="87">
                  <c:v>44000</c:v>
                </c:pt>
                <c:pt idx="88">
                  <c:v>44500</c:v>
                </c:pt>
                <c:pt idx="89">
                  <c:v>45000</c:v>
                </c:pt>
                <c:pt idx="90">
                  <c:v>45500</c:v>
                </c:pt>
                <c:pt idx="91">
                  <c:v>46000</c:v>
                </c:pt>
                <c:pt idx="92">
                  <c:v>46500</c:v>
                </c:pt>
                <c:pt idx="93">
                  <c:v>47000</c:v>
                </c:pt>
                <c:pt idx="94">
                  <c:v>47500</c:v>
                </c:pt>
                <c:pt idx="95">
                  <c:v>48000</c:v>
                </c:pt>
                <c:pt idx="96">
                  <c:v>48500</c:v>
                </c:pt>
                <c:pt idx="97">
                  <c:v>49000</c:v>
                </c:pt>
                <c:pt idx="98">
                  <c:v>49500</c:v>
                </c:pt>
                <c:pt idx="99">
                  <c:v>50000</c:v>
                </c:pt>
              </c:numCache>
            </c:numRef>
          </c:cat>
          <c:val>
            <c:numRef>
              <c:f>train_variate!$P$2:$P$101</c:f>
              <c:numCache>
                <c:formatCode>General</c:formatCode>
                <c:ptCount val="100"/>
                <c:pt idx="0">
                  <c:v>4.8581460078048339E-5</c:v>
                </c:pt>
                <c:pt idx="1">
                  <c:v>5.3999999999999998E-5</c:v>
                </c:pt>
                <c:pt idx="2">
                  <c:v>5.7169642663002263E-5</c:v>
                </c:pt>
                <c:pt idx="3">
                  <c:v>5.9418539921951663E-5</c:v>
                </c:pt>
                <c:pt idx="4">
                  <c:v>6.1162920156096671E-5</c:v>
                </c:pt>
                <c:pt idx="5">
                  <c:v>6.2588182584953929E-5</c:v>
                </c:pt>
                <c:pt idx="6">
                  <c:v>6.3793224798304961E-5</c:v>
                </c:pt>
                <c:pt idx="7">
                  <c:v>6.4837079843903329E-5</c:v>
                </c:pt>
                <c:pt idx="8">
                  <c:v>6.5757825247956181E-5</c:v>
                </c:pt>
                <c:pt idx="9">
                  <c:v>6.6581460078048336E-5</c:v>
                </c:pt>
                <c:pt idx="10">
                  <c:v>6.7326528410896391E-5</c:v>
                </c:pt>
                <c:pt idx="11">
                  <c:v>6.8006722506905581E-5</c:v>
                </c:pt>
                <c:pt idx="12">
                  <c:v>6.8632440419571407E-5</c:v>
                </c:pt>
                <c:pt idx="13">
                  <c:v>6.9211764720256627E-5</c:v>
                </c:pt>
                <c:pt idx="14">
                  <c:v>6.9751102741050602E-5</c:v>
                </c:pt>
                <c:pt idx="15">
                  <c:v>7.0255619765854994E-5</c:v>
                </c:pt>
                <c:pt idx="16">
                  <c:v>7.0729540662857278E-5</c:v>
                </c:pt>
                <c:pt idx="17">
                  <c:v>7.1176365169907846E-5</c:v>
                </c:pt>
                <c:pt idx="18">
                  <c:v>7.1599024895199255E-5</c:v>
                </c:pt>
                <c:pt idx="19">
                  <c:v>7.2000000000000002E-5</c:v>
                </c:pt>
                <c:pt idx="20">
                  <c:v>7.2381407383258892E-5</c:v>
                </c:pt>
                <c:pt idx="21">
                  <c:v>7.2745068332848056E-5</c:v>
                </c:pt>
                <c:pt idx="22">
                  <c:v>7.3092561126365016E-5</c:v>
                </c:pt>
                <c:pt idx="23">
                  <c:v>7.342526242885726E-5</c:v>
                </c:pt>
                <c:pt idx="24">
                  <c:v>7.3744380234145009E-5</c:v>
                </c:pt>
                <c:pt idx="25">
                  <c:v>7.4050980341523073E-5</c:v>
                </c:pt>
                <c:pt idx="26">
                  <c:v>7.4346007832910125E-5</c:v>
                </c:pt>
                <c:pt idx="27">
                  <c:v>7.4630304642208292E-5</c:v>
                </c:pt>
                <c:pt idx="28">
                  <c:v>7.4904624040229552E-5</c:v>
                </c:pt>
                <c:pt idx="29">
                  <c:v>7.5169642663002267E-5</c:v>
                </c:pt>
                <c:pt idx="30">
                  <c:v>7.5425970567065252E-5</c:v>
                </c:pt>
                <c:pt idx="31">
                  <c:v>7.5674159687806646E-5</c:v>
                </c:pt>
                <c:pt idx="32">
                  <c:v>7.5914710995850321E-5</c:v>
                </c:pt>
                <c:pt idx="33">
                  <c:v>7.614808058480893E-5</c:v>
                </c:pt>
                <c:pt idx="34">
                  <c:v>7.63746848763533E-5</c:v>
                </c:pt>
                <c:pt idx="35">
                  <c:v>7.6594905091859525E-5</c:v>
                </c:pt>
                <c:pt idx="36">
                  <c:v>7.6809091111254245E-5</c:v>
                </c:pt>
                <c:pt idx="37">
                  <c:v>7.701756481715092E-5</c:v>
                </c:pt>
                <c:pt idx="38">
                  <c:v>7.7220623004525325E-5</c:v>
                </c:pt>
                <c:pt idx="39">
                  <c:v>7.7418539921951667E-5</c:v>
                </c:pt>
                <c:pt idx="40">
                  <c:v>7.7611569499003578E-5</c:v>
                </c:pt>
                <c:pt idx="41">
                  <c:v>7.7799947305210557E-5</c:v>
                </c:pt>
                <c:pt idx="42">
                  <c:v>7.7983892278480894E-5</c:v>
                </c:pt>
                <c:pt idx="43">
                  <c:v>7.8163608254799721E-5</c:v>
                </c:pt>
                <c:pt idx="44">
                  <c:v>7.8339285326004533E-5</c:v>
                </c:pt>
                <c:pt idx="45">
                  <c:v>7.8511101048316681E-5</c:v>
                </c:pt>
                <c:pt idx="46">
                  <c:v>7.867922152089124E-5</c:v>
                </c:pt>
                <c:pt idx="47">
                  <c:v>7.8843802350808911E-5</c:v>
                </c:pt>
                <c:pt idx="48">
                  <c:v>7.900498951856159E-5</c:v>
                </c:pt>
                <c:pt idx="49">
                  <c:v>7.9162920156096675E-5</c:v>
                </c:pt>
                <c:pt idx="50">
                  <c:v>7.9317723247811196E-5</c:v>
                </c:pt>
                <c:pt idx="51">
                  <c:v>7.9469520263474725E-5</c:v>
                </c:pt>
                <c:pt idx="52">
                  <c:v>7.9618425730862546E-5</c:v>
                </c:pt>
                <c:pt idx="53">
                  <c:v>7.9764547754861763E-5</c:v>
                </c:pt>
                <c:pt idx="54">
                  <c:v>7.9907988488944729E-5</c:v>
                </c:pt>
                <c:pt idx="55">
                  <c:v>8.0048844564159957E-5</c:v>
                </c:pt>
                <c:pt idx="56">
                  <c:v>8.0187207480153185E-5</c:v>
                </c:pt>
                <c:pt idx="57">
                  <c:v>8.0323163962181217E-5</c:v>
                </c:pt>
                <c:pt idx="58">
                  <c:v>8.0456796287606941E-5</c:v>
                </c:pt>
                <c:pt idx="59">
                  <c:v>8.0588182584953933E-5</c:v>
                </c:pt>
                <c:pt idx="60">
                  <c:v>8.0717397108242143E-5</c:v>
                </c:pt>
                <c:pt idx="61">
                  <c:v>8.0844510489016917E-5</c:v>
                </c:pt>
                <c:pt idx="62">
                  <c:v>8.0969589968212823E-5</c:v>
                </c:pt>
                <c:pt idx="63">
                  <c:v>8.1092699609758311E-5</c:v>
                </c:pt>
                <c:pt idx="64">
                  <c:v>8.1213900497619746E-5</c:v>
                </c:pt>
                <c:pt idx="65">
                  <c:v>8.1333250917801973E-5</c:v>
                </c:pt>
                <c:pt idx="66">
                  <c:v>8.1450806526663219E-5</c:v>
                </c:pt>
                <c:pt idx="67">
                  <c:v>8.1566620506760596E-5</c:v>
                </c:pt>
                <c:pt idx="68">
                  <c:v>8.1680743711318946E-5</c:v>
                </c:pt>
                <c:pt idx="69">
                  <c:v>8.1793224798304965E-5</c:v>
                </c:pt>
                <c:pt idx="70">
                  <c:v>8.1904110354991699E-5</c:v>
                </c:pt>
                <c:pt idx="71">
                  <c:v>8.2013445013811163E-5</c:v>
                </c:pt>
                <c:pt idx="72">
                  <c:v>8.2121271560216543E-5</c:v>
                </c:pt>
                <c:pt idx="73">
                  <c:v>8.2227631033205911E-5</c:v>
                </c:pt>
                <c:pt idx="74">
                  <c:v>8.233256281909894E-5</c:v>
                </c:pt>
                <c:pt idx="75">
                  <c:v>8.2436104739102585E-5</c:v>
                </c:pt>
                <c:pt idx="76">
                  <c:v>8.2538293131153019E-5</c:v>
                </c:pt>
                <c:pt idx="77">
                  <c:v>8.263916292647699E-5</c:v>
                </c:pt>
                <c:pt idx="78">
                  <c:v>8.2738747721276286E-5</c:v>
                </c:pt>
                <c:pt idx="79">
                  <c:v>8.2837079843903333E-5</c:v>
                </c:pt>
                <c:pt idx="80">
                  <c:v>8.2934190417864029E-5</c:v>
                </c:pt>
                <c:pt idx="81">
                  <c:v>8.3030109420955244E-5</c:v>
                </c:pt>
                <c:pt idx="82">
                  <c:v>8.312486574081767E-5</c:v>
                </c:pt>
                <c:pt idx="83">
                  <c:v>8.3218487227162223E-5</c:v>
                </c:pt>
                <c:pt idx="84">
                  <c:v>8.3311000740905617E-5</c:v>
                </c:pt>
                <c:pt idx="85">
                  <c:v>8.340243220043256E-5</c:v>
                </c:pt>
                <c:pt idx="86">
                  <c:v>8.3492806625183469E-5</c:v>
                </c:pt>
                <c:pt idx="87">
                  <c:v>8.3582148176751387E-5</c:v>
                </c:pt>
                <c:pt idx="88">
                  <c:v>8.3670480197656775E-5</c:v>
                </c:pt>
                <c:pt idx="89">
                  <c:v>8.3757825247956198E-5</c:v>
                </c:pt>
                <c:pt idx="90">
                  <c:v>8.3844205139828022E-5</c:v>
                </c:pt>
                <c:pt idx="91">
                  <c:v>8.3929640970268346E-5</c:v>
                </c:pt>
                <c:pt idx="92">
                  <c:v>8.4014153152019169E-5</c:v>
                </c:pt>
                <c:pt idx="93">
                  <c:v>8.4097761442842906E-5</c:v>
                </c:pt>
                <c:pt idx="94">
                  <c:v>8.4180484973247593E-5</c:v>
                </c:pt>
                <c:pt idx="95">
                  <c:v>8.4262342272760577E-5</c:v>
                </c:pt>
                <c:pt idx="96">
                  <c:v>8.4343351294840753E-5</c:v>
                </c:pt>
                <c:pt idx="97">
                  <c:v>8.4423529440513255E-5</c:v>
                </c:pt>
                <c:pt idx="98">
                  <c:v>8.4502893580804239E-5</c:v>
                </c:pt>
                <c:pt idx="99">
                  <c:v>8.458146007804834E-5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D13-A14E-AA80-48BE79F0E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49071"/>
        <c:axId val="1396221215"/>
      </c:lineChart>
      <c:catAx>
        <c:axId val="13945490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Tamaño</a:t>
                </a:r>
                <a:r>
                  <a:rPr lang="es-ES_tradnl" baseline="0"/>
                  <a:t> train</a:t>
                </a:r>
                <a:endParaRPr lang="es-ES_trad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96221215"/>
        <c:crosses val="autoZero"/>
        <c:auto val="1"/>
        <c:lblAlgn val="ctr"/>
        <c:lblOffset val="100"/>
        <c:noMultiLvlLbl val="0"/>
      </c:catAx>
      <c:valAx>
        <c:axId val="1396221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_tradnl"/>
                  <a:t>Tiempo de ejecución KNN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9454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471641</xdr:colOff>
      <xdr:row>58</xdr:row>
      <xdr:rowOff>160008</xdr:rowOff>
    </xdr:from>
    <xdr:to>
      <xdr:col>22</xdr:col>
      <xdr:colOff>45904</xdr:colOff>
      <xdr:row>99</xdr:row>
      <xdr:rowOff>45904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D2C685-B60D-E44C-B20F-19AB2B5EE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01"/>
  <sheetViews>
    <sheetView tabSelected="1" topLeftCell="B59" zoomScale="83" workbookViewId="0">
      <selection activeCell="L105" sqref="L105"/>
    </sheetView>
  </sheetViews>
  <sheetFormatPr baseColWidth="10" defaultRowHeight="16" x14ac:dyDescent="0.2"/>
  <cols>
    <col min="16" max="16" width="12.1640625" bestFit="1" customWidth="1"/>
  </cols>
  <sheetData>
    <row r="1" spans="1:16" x14ac:dyDescent="0.2">
      <c r="A1" t="s">
        <v>0</v>
      </c>
      <c r="M1" t="s">
        <v>1</v>
      </c>
      <c r="N1" t="s">
        <v>2</v>
      </c>
      <c r="O1" t="s">
        <v>3</v>
      </c>
      <c r="P1" t="s">
        <v>4</v>
      </c>
    </row>
    <row r="2" spans="1:16" x14ac:dyDescent="0.2">
      <c r="A2">
        <v>500</v>
      </c>
      <c r="B2">
        <v>4.3000000000000002E-5</v>
      </c>
      <c r="C2">
        <v>4.1999999999999998E-5</v>
      </c>
      <c r="D2">
        <v>4.8999999999999998E-5</v>
      </c>
      <c r="E2">
        <v>4.1999999999999998E-5</v>
      </c>
      <c r="F2">
        <v>4.1999999999999998E-5</v>
      </c>
      <c r="G2">
        <v>4.1999999999999998E-5</v>
      </c>
      <c r="H2">
        <v>4.8000000000000001E-5</v>
      </c>
      <c r="I2">
        <v>4.1999999999999998E-5</v>
      </c>
      <c r="J2">
        <v>4.3000000000000002E-5</v>
      </c>
      <c r="K2">
        <v>4.1E-5</v>
      </c>
      <c r="M2">
        <f>MIN(B2:K2)</f>
        <v>4.1E-5</v>
      </c>
      <c r="N2">
        <f>MAX(B2:K2)</f>
        <v>4.8999999999999998E-5</v>
      </c>
      <c r="O2">
        <f>AVERAGE(B2:K2)</f>
        <v>4.3400000000000005E-5</v>
      </c>
      <c r="P2">
        <f>LOG(A2)*0.000018</f>
        <v>4.8581460078048339E-5</v>
      </c>
    </row>
    <row r="3" spans="1:16" x14ac:dyDescent="0.2">
      <c r="A3">
        <v>1000</v>
      </c>
      <c r="B3">
        <v>4.3999999999999999E-5</v>
      </c>
      <c r="C3">
        <v>5.5000000000000002E-5</v>
      </c>
      <c r="D3">
        <v>6.0999999999999999E-5</v>
      </c>
      <c r="E3">
        <v>5.1999999999999997E-5</v>
      </c>
      <c r="F3">
        <v>5.1999999999999997E-5</v>
      </c>
      <c r="G3">
        <v>5.1999999999999997E-5</v>
      </c>
      <c r="H3">
        <v>5.3000000000000001E-5</v>
      </c>
      <c r="I3">
        <v>5.3000000000000001E-5</v>
      </c>
      <c r="J3">
        <v>5.1999999999999997E-5</v>
      </c>
      <c r="K3">
        <v>5.1999999999999997E-5</v>
      </c>
      <c r="M3">
        <f t="shared" ref="M3:M66" si="0">MIN(B3:K3)</f>
        <v>4.3999999999999999E-5</v>
      </c>
      <c r="N3">
        <f t="shared" ref="N3:N66" si="1">MAX(B3:K3)</f>
        <v>6.0999999999999999E-5</v>
      </c>
      <c r="O3">
        <f t="shared" ref="O3:O66" si="2">AVERAGE(B3:K3)</f>
        <v>5.2599999999999998E-5</v>
      </c>
      <c r="P3">
        <f t="shared" ref="P3:P66" si="3">LOG(A3)*0.000018</f>
        <v>5.3999999999999998E-5</v>
      </c>
    </row>
    <row r="4" spans="1:16" x14ac:dyDescent="0.2">
      <c r="A4">
        <v>1500</v>
      </c>
      <c r="B4">
        <v>5.8E-5</v>
      </c>
      <c r="C4">
        <v>5.5000000000000002E-5</v>
      </c>
      <c r="D4">
        <v>5.8999999999999998E-5</v>
      </c>
      <c r="E4">
        <v>5.1E-5</v>
      </c>
      <c r="F4">
        <v>5.1999999999999997E-5</v>
      </c>
      <c r="G4">
        <v>5.1999999999999997E-5</v>
      </c>
      <c r="H4">
        <v>5.1E-5</v>
      </c>
      <c r="I4">
        <v>5.1E-5</v>
      </c>
      <c r="J4">
        <v>5.1E-5</v>
      </c>
      <c r="K4">
        <v>5.1999999999999997E-5</v>
      </c>
      <c r="M4">
        <f t="shared" si="0"/>
        <v>5.1E-5</v>
      </c>
      <c r="N4">
        <f t="shared" si="1"/>
        <v>5.8999999999999998E-5</v>
      </c>
      <c r="O4">
        <f t="shared" si="2"/>
        <v>5.3200000000000006E-5</v>
      </c>
      <c r="P4">
        <f t="shared" si="3"/>
        <v>5.7169642663002263E-5</v>
      </c>
    </row>
    <row r="5" spans="1:16" x14ac:dyDescent="0.2">
      <c r="A5">
        <v>2000</v>
      </c>
      <c r="B5">
        <v>5.8E-5</v>
      </c>
      <c r="C5">
        <v>5.8E-5</v>
      </c>
      <c r="D5">
        <v>6.9999999999999994E-5</v>
      </c>
      <c r="E5">
        <v>5.5999999999999999E-5</v>
      </c>
      <c r="F5">
        <v>5.5000000000000002E-5</v>
      </c>
      <c r="G5">
        <v>5.5000000000000002E-5</v>
      </c>
      <c r="H5">
        <v>5.5000000000000002E-5</v>
      </c>
      <c r="I5">
        <v>5.5000000000000002E-5</v>
      </c>
      <c r="J5">
        <v>6.2000000000000003E-5</v>
      </c>
      <c r="K5">
        <v>5.5999999999999999E-5</v>
      </c>
      <c r="M5">
        <f t="shared" si="0"/>
        <v>5.5000000000000002E-5</v>
      </c>
      <c r="N5">
        <f t="shared" si="1"/>
        <v>6.9999999999999994E-5</v>
      </c>
      <c r="O5">
        <f t="shared" si="2"/>
        <v>5.7999999999999987E-5</v>
      </c>
      <c r="P5">
        <f t="shared" si="3"/>
        <v>5.9418539921951663E-5</v>
      </c>
    </row>
    <row r="6" spans="1:16" x14ac:dyDescent="0.2">
      <c r="A6">
        <v>2500</v>
      </c>
      <c r="B6">
        <v>5.8999999999999998E-5</v>
      </c>
      <c r="C6">
        <v>6.2000000000000003E-5</v>
      </c>
      <c r="D6">
        <v>5.8999999999999998E-5</v>
      </c>
      <c r="E6">
        <v>5.7000000000000003E-5</v>
      </c>
      <c r="F6">
        <v>5.8E-5</v>
      </c>
      <c r="G6">
        <v>5.7000000000000003E-5</v>
      </c>
      <c r="H6">
        <v>5.8E-5</v>
      </c>
      <c r="I6">
        <v>5.5999999999999999E-5</v>
      </c>
      <c r="J6">
        <v>6.3999999999999997E-5</v>
      </c>
      <c r="K6">
        <v>5.7000000000000003E-5</v>
      </c>
      <c r="M6">
        <f t="shared" si="0"/>
        <v>5.5999999999999999E-5</v>
      </c>
      <c r="N6">
        <f t="shared" si="1"/>
        <v>6.3999999999999997E-5</v>
      </c>
      <c r="O6">
        <f t="shared" si="2"/>
        <v>5.8699999999999997E-5</v>
      </c>
      <c r="P6">
        <f t="shared" si="3"/>
        <v>6.1162920156096671E-5</v>
      </c>
    </row>
    <row r="7" spans="1:16" x14ac:dyDescent="0.2">
      <c r="A7">
        <v>3000</v>
      </c>
      <c r="B7">
        <v>5.8E-5</v>
      </c>
      <c r="C7">
        <v>5.8E-5</v>
      </c>
      <c r="D7">
        <v>6.3E-5</v>
      </c>
      <c r="E7">
        <v>6.0000000000000002E-5</v>
      </c>
      <c r="F7">
        <v>5.7000000000000003E-5</v>
      </c>
      <c r="G7">
        <v>5.8E-5</v>
      </c>
      <c r="H7">
        <v>5.7000000000000003E-5</v>
      </c>
      <c r="I7">
        <v>5.5000000000000002E-5</v>
      </c>
      <c r="J7">
        <v>5.3000000000000001E-5</v>
      </c>
      <c r="K7">
        <v>5.3000000000000001E-5</v>
      </c>
      <c r="M7">
        <f t="shared" si="0"/>
        <v>5.3000000000000001E-5</v>
      </c>
      <c r="N7">
        <f t="shared" si="1"/>
        <v>6.3E-5</v>
      </c>
      <c r="O7">
        <f t="shared" si="2"/>
        <v>5.7200000000000001E-5</v>
      </c>
      <c r="P7">
        <f t="shared" si="3"/>
        <v>6.2588182584953929E-5</v>
      </c>
    </row>
    <row r="8" spans="1:16" x14ac:dyDescent="0.2">
      <c r="A8">
        <v>3500</v>
      </c>
      <c r="B8">
        <v>5.8999999999999998E-5</v>
      </c>
      <c r="C8">
        <v>5.7000000000000003E-5</v>
      </c>
      <c r="D8">
        <v>5.8999999999999998E-5</v>
      </c>
      <c r="E8">
        <v>5.8999999999999998E-5</v>
      </c>
      <c r="F8">
        <v>7.2000000000000002E-5</v>
      </c>
      <c r="G8">
        <v>6.0000000000000002E-5</v>
      </c>
      <c r="H8">
        <v>6.0000000000000002E-5</v>
      </c>
      <c r="I8">
        <v>6.0000000000000002E-5</v>
      </c>
      <c r="J8">
        <v>6.2000000000000003E-5</v>
      </c>
      <c r="K8">
        <v>6.4999999999999994E-5</v>
      </c>
      <c r="M8">
        <f t="shared" si="0"/>
        <v>5.7000000000000003E-5</v>
      </c>
      <c r="N8">
        <f t="shared" si="1"/>
        <v>7.2000000000000002E-5</v>
      </c>
      <c r="O8">
        <f t="shared" si="2"/>
        <v>6.1299999999999999E-5</v>
      </c>
      <c r="P8">
        <f t="shared" si="3"/>
        <v>6.3793224798304961E-5</v>
      </c>
    </row>
    <row r="9" spans="1:16" x14ac:dyDescent="0.2">
      <c r="A9">
        <v>4000</v>
      </c>
      <c r="B9">
        <v>6.0999999999999999E-5</v>
      </c>
      <c r="C9">
        <v>6.8999999999999997E-5</v>
      </c>
      <c r="D9">
        <v>6.6000000000000005E-5</v>
      </c>
      <c r="E9">
        <v>6.0000000000000002E-5</v>
      </c>
      <c r="F9">
        <v>5.8E-5</v>
      </c>
      <c r="G9">
        <v>6.0000000000000002E-5</v>
      </c>
      <c r="H9">
        <v>5.8E-5</v>
      </c>
      <c r="I9">
        <v>6.3E-5</v>
      </c>
      <c r="J9">
        <v>6.6000000000000005E-5</v>
      </c>
      <c r="K9">
        <v>6.0999999999999999E-5</v>
      </c>
      <c r="M9">
        <f t="shared" si="0"/>
        <v>5.8E-5</v>
      </c>
      <c r="N9">
        <f t="shared" si="1"/>
        <v>6.8999999999999997E-5</v>
      </c>
      <c r="O9">
        <f t="shared" si="2"/>
        <v>6.2199999999999994E-5</v>
      </c>
      <c r="P9">
        <f t="shared" si="3"/>
        <v>6.4837079843903329E-5</v>
      </c>
    </row>
    <row r="10" spans="1:16" x14ac:dyDescent="0.2">
      <c r="A10">
        <v>4500</v>
      </c>
      <c r="B10">
        <v>5.8E-5</v>
      </c>
      <c r="C10">
        <v>6.0000000000000002E-5</v>
      </c>
      <c r="D10">
        <v>6.7000000000000002E-5</v>
      </c>
      <c r="E10">
        <v>6.4999999999999994E-5</v>
      </c>
      <c r="F10">
        <v>6.3999999999999997E-5</v>
      </c>
      <c r="G10">
        <v>6.8999999999999997E-5</v>
      </c>
      <c r="H10">
        <v>6.3999999999999997E-5</v>
      </c>
      <c r="I10">
        <v>6.7999999999999999E-5</v>
      </c>
      <c r="J10">
        <v>6.0999999999999999E-5</v>
      </c>
      <c r="K10">
        <v>7.4999999999999993E-5</v>
      </c>
      <c r="M10">
        <f t="shared" si="0"/>
        <v>5.8E-5</v>
      </c>
      <c r="N10">
        <f t="shared" si="1"/>
        <v>7.4999999999999993E-5</v>
      </c>
      <c r="O10">
        <f t="shared" si="2"/>
        <v>6.5099999999999983E-5</v>
      </c>
      <c r="P10">
        <f t="shared" si="3"/>
        <v>6.5757825247956181E-5</v>
      </c>
    </row>
    <row r="11" spans="1:16" x14ac:dyDescent="0.2">
      <c r="A11">
        <v>5000</v>
      </c>
      <c r="B11">
        <v>6.2000000000000003E-5</v>
      </c>
      <c r="C11">
        <v>5.0000000000000002E-5</v>
      </c>
      <c r="D11">
        <v>5.5999999999999999E-5</v>
      </c>
      <c r="E11">
        <v>5.1E-5</v>
      </c>
      <c r="F11">
        <v>6.6000000000000005E-5</v>
      </c>
      <c r="G11">
        <v>5.7000000000000003E-5</v>
      </c>
      <c r="H11">
        <v>5.1999999999999997E-5</v>
      </c>
      <c r="I11">
        <v>5.0000000000000002E-5</v>
      </c>
      <c r="J11">
        <v>5.8E-5</v>
      </c>
      <c r="K11">
        <v>5.1999999999999997E-5</v>
      </c>
      <c r="M11">
        <f t="shared" si="0"/>
        <v>5.0000000000000002E-5</v>
      </c>
      <c r="N11">
        <f t="shared" si="1"/>
        <v>6.6000000000000005E-5</v>
      </c>
      <c r="O11">
        <f t="shared" si="2"/>
        <v>5.5400000000000005E-5</v>
      </c>
      <c r="P11">
        <f t="shared" si="3"/>
        <v>6.6581460078048336E-5</v>
      </c>
    </row>
    <row r="12" spans="1:16" x14ac:dyDescent="0.2">
      <c r="A12">
        <v>5500</v>
      </c>
      <c r="B12">
        <v>5.5000000000000002E-5</v>
      </c>
      <c r="C12">
        <v>7.3999999999999996E-5</v>
      </c>
      <c r="D12">
        <v>6.3999999999999997E-5</v>
      </c>
      <c r="E12">
        <v>6.4999999999999994E-5</v>
      </c>
      <c r="F12">
        <v>7.6000000000000004E-5</v>
      </c>
      <c r="G12">
        <v>6.3999999999999997E-5</v>
      </c>
      <c r="H12">
        <v>6.6000000000000005E-5</v>
      </c>
      <c r="I12">
        <v>6.8999999999999997E-5</v>
      </c>
      <c r="J12">
        <v>5.8999999999999998E-5</v>
      </c>
      <c r="K12">
        <v>6.0000000000000002E-5</v>
      </c>
      <c r="M12">
        <f t="shared" si="0"/>
        <v>5.5000000000000002E-5</v>
      </c>
      <c r="N12">
        <f t="shared" si="1"/>
        <v>7.6000000000000004E-5</v>
      </c>
      <c r="O12">
        <f t="shared" si="2"/>
        <v>6.5200000000000013E-5</v>
      </c>
      <c r="P12">
        <f t="shared" si="3"/>
        <v>6.7326528410896391E-5</v>
      </c>
    </row>
    <row r="13" spans="1:16" x14ac:dyDescent="0.2">
      <c r="A13">
        <v>6000</v>
      </c>
      <c r="B13">
        <v>5.8999999999999998E-5</v>
      </c>
      <c r="C13">
        <v>5.8999999999999998E-5</v>
      </c>
      <c r="D13">
        <v>5.1E-5</v>
      </c>
      <c r="E13">
        <v>5.1999999999999997E-5</v>
      </c>
      <c r="F13">
        <v>5.5999999999999999E-5</v>
      </c>
      <c r="G13">
        <v>5.3000000000000001E-5</v>
      </c>
      <c r="H13">
        <v>6.0000000000000002E-5</v>
      </c>
      <c r="I13">
        <v>5.8999999999999998E-5</v>
      </c>
      <c r="J13">
        <v>6.0999999999999999E-5</v>
      </c>
      <c r="K13">
        <v>5.3000000000000001E-5</v>
      </c>
      <c r="M13">
        <f t="shared" si="0"/>
        <v>5.1E-5</v>
      </c>
      <c r="N13">
        <f t="shared" si="1"/>
        <v>6.0999999999999999E-5</v>
      </c>
      <c r="O13">
        <f t="shared" si="2"/>
        <v>5.6299999999999993E-5</v>
      </c>
      <c r="P13">
        <f t="shared" si="3"/>
        <v>6.8006722506905581E-5</v>
      </c>
    </row>
    <row r="14" spans="1:16" x14ac:dyDescent="0.2">
      <c r="A14">
        <v>6500</v>
      </c>
      <c r="B14">
        <v>4.8999999999999998E-5</v>
      </c>
      <c r="C14">
        <v>5.1E-5</v>
      </c>
      <c r="D14">
        <v>5.0000000000000002E-5</v>
      </c>
      <c r="E14">
        <v>5.1E-5</v>
      </c>
      <c r="F14">
        <v>5.5999999999999999E-5</v>
      </c>
      <c r="G14">
        <v>5.1999999999999997E-5</v>
      </c>
      <c r="H14">
        <v>5.1E-5</v>
      </c>
      <c r="I14">
        <v>5.1E-5</v>
      </c>
      <c r="J14">
        <v>5.1E-5</v>
      </c>
      <c r="K14">
        <v>5.1E-5</v>
      </c>
      <c r="M14">
        <f t="shared" si="0"/>
        <v>4.8999999999999998E-5</v>
      </c>
      <c r="N14">
        <f t="shared" si="1"/>
        <v>5.5999999999999999E-5</v>
      </c>
      <c r="O14">
        <f t="shared" si="2"/>
        <v>5.13E-5</v>
      </c>
      <c r="P14">
        <f t="shared" si="3"/>
        <v>6.8632440419571407E-5</v>
      </c>
    </row>
    <row r="15" spans="1:16" x14ac:dyDescent="0.2">
      <c r="A15">
        <v>7000</v>
      </c>
      <c r="B15">
        <v>5.0000000000000002E-5</v>
      </c>
      <c r="C15">
        <v>5.7000000000000003E-5</v>
      </c>
      <c r="D15">
        <v>5.7000000000000003E-5</v>
      </c>
      <c r="E15">
        <v>5.8E-5</v>
      </c>
      <c r="F15">
        <v>6.3E-5</v>
      </c>
      <c r="G15">
        <v>5.8E-5</v>
      </c>
      <c r="H15">
        <v>5.8E-5</v>
      </c>
      <c r="I15">
        <v>5.8E-5</v>
      </c>
      <c r="J15">
        <v>5.7000000000000003E-5</v>
      </c>
      <c r="K15">
        <v>5.7000000000000003E-5</v>
      </c>
      <c r="M15">
        <f t="shared" si="0"/>
        <v>5.0000000000000002E-5</v>
      </c>
      <c r="N15">
        <f t="shared" si="1"/>
        <v>6.3E-5</v>
      </c>
      <c r="O15">
        <f t="shared" si="2"/>
        <v>5.7299999999999997E-5</v>
      </c>
      <c r="P15">
        <f t="shared" si="3"/>
        <v>6.9211764720256627E-5</v>
      </c>
    </row>
    <row r="16" spans="1:16" x14ac:dyDescent="0.2">
      <c r="A16">
        <v>7500</v>
      </c>
      <c r="B16">
        <v>5.7000000000000003E-5</v>
      </c>
      <c r="C16">
        <v>4.3000000000000002E-5</v>
      </c>
      <c r="D16">
        <v>5.3999999999999998E-5</v>
      </c>
      <c r="E16">
        <v>5.8E-5</v>
      </c>
      <c r="F16">
        <v>4.8999999999999998E-5</v>
      </c>
      <c r="G16">
        <v>4.1999999999999998E-5</v>
      </c>
      <c r="H16">
        <v>4.3000000000000002E-5</v>
      </c>
      <c r="I16">
        <v>4.3999999999999999E-5</v>
      </c>
      <c r="J16">
        <v>4.3000000000000002E-5</v>
      </c>
      <c r="K16">
        <v>4.5000000000000003E-5</v>
      </c>
      <c r="M16">
        <f t="shared" si="0"/>
        <v>4.1999999999999998E-5</v>
      </c>
      <c r="N16">
        <f t="shared" si="1"/>
        <v>5.8E-5</v>
      </c>
      <c r="O16">
        <f t="shared" si="2"/>
        <v>4.7800000000000003E-5</v>
      </c>
      <c r="P16">
        <f t="shared" si="3"/>
        <v>6.9751102741050602E-5</v>
      </c>
    </row>
    <row r="17" spans="1:16" x14ac:dyDescent="0.2">
      <c r="A17">
        <v>8000</v>
      </c>
      <c r="B17">
        <v>4.1999999999999998E-5</v>
      </c>
      <c r="C17">
        <v>5.1E-5</v>
      </c>
      <c r="D17">
        <v>6.2000000000000003E-5</v>
      </c>
      <c r="E17">
        <v>6.0999999999999999E-5</v>
      </c>
      <c r="F17">
        <v>5.7000000000000003E-5</v>
      </c>
      <c r="G17">
        <v>5.1E-5</v>
      </c>
      <c r="H17">
        <v>5.1E-5</v>
      </c>
      <c r="I17">
        <v>5.1E-5</v>
      </c>
      <c r="J17">
        <v>5.1E-5</v>
      </c>
      <c r="K17">
        <v>6.0000000000000002E-5</v>
      </c>
      <c r="M17">
        <f t="shared" si="0"/>
        <v>4.1999999999999998E-5</v>
      </c>
      <c r="N17">
        <f t="shared" si="1"/>
        <v>6.2000000000000003E-5</v>
      </c>
      <c r="O17">
        <f t="shared" si="2"/>
        <v>5.3700000000000004E-5</v>
      </c>
      <c r="P17">
        <f t="shared" si="3"/>
        <v>7.0255619765854994E-5</v>
      </c>
    </row>
    <row r="18" spans="1:16" x14ac:dyDescent="0.2">
      <c r="A18">
        <v>8500</v>
      </c>
      <c r="B18">
        <v>5.1E-5</v>
      </c>
      <c r="C18">
        <v>5.0000000000000002E-5</v>
      </c>
      <c r="D18">
        <v>5.0000000000000002E-5</v>
      </c>
      <c r="E18">
        <v>5.8E-5</v>
      </c>
      <c r="F18">
        <v>5.1E-5</v>
      </c>
      <c r="G18">
        <v>6.2000000000000003E-5</v>
      </c>
      <c r="H18">
        <v>4.8999999999999998E-5</v>
      </c>
      <c r="I18">
        <v>5.0000000000000002E-5</v>
      </c>
      <c r="J18">
        <v>4.8999999999999998E-5</v>
      </c>
      <c r="K18">
        <v>4.8999999999999998E-5</v>
      </c>
      <c r="M18">
        <f t="shared" si="0"/>
        <v>4.8999999999999998E-5</v>
      </c>
      <c r="N18">
        <f t="shared" si="1"/>
        <v>6.2000000000000003E-5</v>
      </c>
      <c r="O18">
        <f t="shared" si="2"/>
        <v>5.1900000000000001E-5</v>
      </c>
      <c r="P18">
        <f t="shared" si="3"/>
        <v>7.0729540662857278E-5</v>
      </c>
    </row>
    <row r="19" spans="1:16" x14ac:dyDescent="0.2">
      <c r="A19">
        <v>9000</v>
      </c>
      <c r="B19">
        <v>4.8999999999999998E-5</v>
      </c>
      <c r="C19">
        <v>4.8999999999999998E-5</v>
      </c>
      <c r="D19">
        <v>5.0000000000000002E-5</v>
      </c>
      <c r="E19">
        <v>5.5000000000000002E-5</v>
      </c>
      <c r="F19">
        <v>4.8999999999999998E-5</v>
      </c>
      <c r="G19">
        <v>5.0000000000000002E-5</v>
      </c>
      <c r="H19">
        <v>4.8999999999999998E-5</v>
      </c>
      <c r="I19">
        <v>5.1E-5</v>
      </c>
      <c r="J19">
        <v>4.8000000000000001E-5</v>
      </c>
      <c r="K19">
        <v>4.8999999999999998E-5</v>
      </c>
      <c r="M19">
        <f t="shared" si="0"/>
        <v>4.8000000000000001E-5</v>
      </c>
      <c r="N19">
        <f t="shared" si="1"/>
        <v>5.5000000000000002E-5</v>
      </c>
      <c r="O19">
        <f t="shared" si="2"/>
        <v>4.99E-5</v>
      </c>
      <c r="P19">
        <f t="shared" si="3"/>
        <v>7.1176365169907846E-5</v>
      </c>
    </row>
    <row r="20" spans="1:16" x14ac:dyDescent="0.2">
      <c r="A20">
        <v>9500</v>
      </c>
      <c r="B20">
        <v>5.0000000000000002E-5</v>
      </c>
      <c r="C20">
        <v>5.1E-5</v>
      </c>
      <c r="D20">
        <v>5.1999999999999997E-5</v>
      </c>
      <c r="E20">
        <v>5.0000000000000002E-5</v>
      </c>
      <c r="F20">
        <v>5.1E-5</v>
      </c>
      <c r="G20">
        <v>5.1999999999999997E-5</v>
      </c>
      <c r="H20">
        <v>5.1999999999999997E-5</v>
      </c>
      <c r="I20">
        <v>5.1999999999999997E-5</v>
      </c>
      <c r="J20">
        <v>5.0000000000000002E-5</v>
      </c>
      <c r="K20">
        <v>5.0000000000000002E-5</v>
      </c>
      <c r="M20">
        <f t="shared" si="0"/>
        <v>5.0000000000000002E-5</v>
      </c>
      <c r="N20">
        <f t="shared" si="1"/>
        <v>5.1999999999999997E-5</v>
      </c>
      <c r="O20">
        <f t="shared" si="2"/>
        <v>5.1000000000000006E-5</v>
      </c>
      <c r="P20">
        <f t="shared" si="3"/>
        <v>7.1599024895199255E-5</v>
      </c>
    </row>
    <row r="21" spans="1:16" x14ac:dyDescent="0.2">
      <c r="A21">
        <v>10000</v>
      </c>
      <c r="B21">
        <v>5.5999999999999999E-5</v>
      </c>
      <c r="C21">
        <v>6.2000000000000003E-5</v>
      </c>
      <c r="D21">
        <v>6.7999999999999999E-5</v>
      </c>
      <c r="E21">
        <v>6.8999999999999997E-5</v>
      </c>
      <c r="F21">
        <v>7.3999999999999996E-5</v>
      </c>
      <c r="G21">
        <v>6.2000000000000003E-5</v>
      </c>
      <c r="H21">
        <v>6.7999999999999999E-5</v>
      </c>
      <c r="I21">
        <v>6.2000000000000003E-5</v>
      </c>
      <c r="J21">
        <v>6.2000000000000003E-5</v>
      </c>
      <c r="K21">
        <v>6.2000000000000003E-5</v>
      </c>
      <c r="M21">
        <f t="shared" si="0"/>
        <v>5.5999999999999999E-5</v>
      </c>
      <c r="N21">
        <f t="shared" si="1"/>
        <v>7.3999999999999996E-5</v>
      </c>
      <c r="O21">
        <f t="shared" si="2"/>
        <v>6.4499999999999996E-5</v>
      </c>
      <c r="P21">
        <f t="shared" si="3"/>
        <v>7.2000000000000002E-5</v>
      </c>
    </row>
    <row r="22" spans="1:16" x14ac:dyDescent="0.2">
      <c r="A22">
        <v>10500</v>
      </c>
      <c r="B22">
        <v>6.2000000000000003E-5</v>
      </c>
      <c r="C22">
        <v>6.3999999999999997E-5</v>
      </c>
      <c r="D22">
        <v>6.2000000000000003E-5</v>
      </c>
      <c r="E22">
        <v>7.4999999999999993E-5</v>
      </c>
      <c r="F22">
        <v>7.3999999999999996E-5</v>
      </c>
      <c r="G22">
        <v>6.3E-5</v>
      </c>
      <c r="H22">
        <v>6.2000000000000003E-5</v>
      </c>
      <c r="I22">
        <v>7.3999999999999996E-5</v>
      </c>
      <c r="J22">
        <v>6.2000000000000003E-5</v>
      </c>
      <c r="K22">
        <v>6.3E-5</v>
      </c>
      <c r="M22">
        <f t="shared" si="0"/>
        <v>6.2000000000000003E-5</v>
      </c>
      <c r="N22">
        <f t="shared" si="1"/>
        <v>7.4999999999999993E-5</v>
      </c>
      <c r="O22">
        <f t="shared" si="2"/>
        <v>6.6100000000000007E-5</v>
      </c>
      <c r="P22">
        <f t="shared" si="3"/>
        <v>7.2381407383258892E-5</v>
      </c>
    </row>
    <row r="23" spans="1:16" x14ac:dyDescent="0.2">
      <c r="A23">
        <v>11000</v>
      </c>
      <c r="B23">
        <v>7.7000000000000001E-5</v>
      </c>
      <c r="C23">
        <v>6.0000000000000002E-5</v>
      </c>
      <c r="D23">
        <v>5.8999999999999998E-5</v>
      </c>
      <c r="E23">
        <v>6.6000000000000005E-5</v>
      </c>
      <c r="F23">
        <v>6.0000000000000002E-5</v>
      </c>
      <c r="G23">
        <v>5.8999999999999998E-5</v>
      </c>
      <c r="H23">
        <v>6.0000000000000002E-5</v>
      </c>
      <c r="I23">
        <v>6.0000000000000002E-5</v>
      </c>
      <c r="J23">
        <v>6.0000000000000002E-5</v>
      </c>
      <c r="K23">
        <v>5.8999999999999998E-5</v>
      </c>
      <c r="M23">
        <f t="shared" si="0"/>
        <v>5.8999999999999998E-5</v>
      </c>
      <c r="N23">
        <f t="shared" si="1"/>
        <v>7.7000000000000001E-5</v>
      </c>
      <c r="O23">
        <f t="shared" si="2"/>
        <v>6.2000000000000003E-5</v>
      </c>
      <c r="P23">
        <f t="shared" si="3"/>
        <v>7.2745068332848056E-5</v>
      </c>
    </row>
    <row r="24" spans="1:16" x14ac:dyDescent="0.2">
      <c r="A24">
        <v>11500</v>
      </c>
      <c r="B24">
        <v>6.0000000000000002E-5</v>
      </c>
      <c r="C24">
        <v>5.8999999999999998E-5</v>
      </c>
      <c r="D24">
        <v>6.8999999999999997E-5</v>
      </c>
      <c r="E24">
        <v>6.3E-5</v>
      </c>
      <c r="F24">
        <v>6.0000000000000002E-5</v>
      </c>
      <c r="G24">
        <v>6.0000000000000002E-5</v>
      </c>
      <c r="H24">
        <v>6.2000000000000003E-5</v>
      </c>
      <c r="I24">
        <v>5.7000000000000003E-5</v>
      </c>
      <c r="J24">
        <v>5.7000000000000003E-5</v>
      </c>
      <c r="K24">
        <v>5.8999999999999998E-5</v>
      </c>
      <c r="M24">
        <f t="shared" si="0"/>
        <v>5.7000000000000003E-5</v>
      </c>
      <c r="N24">
        <f t="shared" si="1"/>
        <v>6.8999999999999997E-5</v>
      </c>
      <c r="O24">
        <f t="shared" si="2"/>
        <v>6.0599999999999996E-5</v>
      </c>
      <c r="P24">
        <f t="shared" si="3"/>
        <v>7.3092561126365016E-5</v>
      </c>
    </row>
    <row r="25" spans="1:16" x14ac:dyDescent="0.2">
      <c r="A25">
        <v>12000</v>
      </c>
      <c r="B25">
        <v>6.8999999999999997E-5</v>
      </c>
      <c r="C25">
        <v>6.3999999999999997E-5</v>
      </c>
      <c r="D25">
        <v>8.0000000000000007E-5</v>
      </c>
      <c r="E25">
        <v>6.7000000000000002E-5</v>
      </c>
      <c r="F25">
        <v>6.0999999999999999E-5</v>
      </c>
      <c r="G25">
        <v>6.0999999999999999E-5</v>
      </c>
      <c r="H25">
        <v>6.2000000000000003E-5</v>
      </c>
      <c r="I25">
        <v>6.2000000000000003E-5</v>
      </c>
      <c r="J25">
        <v>6.2000000000000003E-5</v>
      </c>
      <c r="K25">
        <v>6.0999999999999999E-5</v>
      </c>
      <c r="M25">
        <f t="shared" si="0"/>
        <v>6.0999999999999999E-5</v>
      </c>
      <c r="N25">
        <f t="shared" si="1"/>
        <v>8.0000000000000007E-5</v>
      </c>
      <c r="O25">
        <f t="shared" si="2"/>
        <v>6.4899999999999992E-5</v>
      </c>
      <c r="P25">
        <f t="shared" si="3"/>
        <v>7.342526242885726E-5</v>
      </c>
    </row>
    <row r="26" spans="1:16" x14ac:dyDescent="0.2">
      <c r="A26">
        <v>12500</v>
      </c>
      <c r="B26">
        <v>6.3E-5</v>
      </c>
      <c r="C26">
        <v>6.2000000000000003E-5</v>
      </c>
      <c r="D26">
        <v>6.9999999999999994E-5</v>
      </c>
      <c r="E26">
        <v>6.4999999999999994E-5</v>
      </c>
      <c r="F26">
        <v>6.3E-5</v>
      </c>
      <c r="G26">
        <v>6.0999999999999999E-5</v>
      </c>
      <c r="H26">
        <v>6.0000000000000002E-5</v>
      </c>
      <c r="I26">
        <v>6.0000000000000002E-5</v>
      </c>
      <c r="J26">
        <v>6.2000000000000003E-5</v>
      </c>
      <c r="K26">
        <v>6.0999999999999999E-5</v>
      </c>
      <c r="M26">
        <f t="shared" si="0"/>
        <v>6.0000000000000002E-5</v>
      </c>
      <c r="N26">
        <f t="shared" si="1"/>
        <v>6.9999999999999994E-5</v>
      </c>
      <c r="O26">
        <f t="shared" si="2"/>
        <v>6.2699999999999993E-5</v>
      </c>
      <c r="P26">
        <f t="shared" si="3"/>
        <v>7.3744380234145009E-5</v>
      </c>
    </row>
    <row r="27" spans="1:16" x14ac:dyDescent="0.2">
      <c r="A27">
        <v>13000</v>
      </c>
      <c r="B27">
        <v>6.2000000000000003E-5</v>
      </c>
      <c r="C27">
        <v>6.0000000000000002E-5</v>
      </c>
      <c r="D27">
        <v>6.7000000000000002E-5</v>
      </c>
      <c r="E27">
        <v>6.7999999999999999E-5</v>
      </c>
      <c r="F27">
        <v>7.8999999999999996E-5</v>
      </c>
      <c r="G27">
        <v>6.2000000000000003E-5</v>
      </c>
      <c r="H27">
        <v>6.3E-5</v>
      </c>
      <c r="I27">
        <v>6.0000000000000002E-5</v>
      </c>
      <c r="J27">
        <v>6.0999999999999999E-5</v>
      </c>
      <c r="K27">
        <v>6.0000000000000002E-5</v>
      </c>
      <c r="M27">
        <f t="shared" si="0"/>
        <v>6.0000000000000002E-5</v>
      </c>
      <c r="N27">
        <f t="shared" si="1"/>
        <v>7.8999999999999996E-5</v>
      </c>
      <c r="O27">
        <f t="shared" si="2"/>
        <v>6.4200000000000016E-5</v>
      </c>
      <c r="P27">
        <f t="shared" si="3"/>
        <v>7.4050980341523073E-5</v>
      </c>
    </row>
    <row r="28" spans="1:16" x14ac:dyDescent="0.2">
      <c r="A28">
        <v>13500</v>
      </c>
      <c r="B28">
        <v>6.0999999999999999E-5</v>
      </c>
      <c r="C28">
        <v>5.5999999999999999E-5</v>
      </c>
      <c r="D28">
        <v>5.8E-5</v>
      </c>
      <c r="E28">
        <v>6.7999999999999999E-5</v>
      </c>
      <c r="F28">
        <v>5.8999999999999998E-5</v>
      </c>
      <c r="G28">
        <v>5.5999999999999999E-5</v>
      </c>
      <c r="H28">
        <v>5.5000000000000002E-5</v>
      </c>
      <c r="I28">
        <v>5.5999999999999999E-5</v>
      </c>
      <c r="J28">
        <v>6.7000000000000002E-5</v>
      </c>
      <c r="K28">
        <v>5.3999999999999998E-5</v>
      </c>
      <c r="M28">
        <f t="shared" si="0"/>
        <v>5.3999999999999998E-5</v>
      </c>
      <c r="N28">
        <f t="shared" si="1"/>
        <v>6.7999999999999999E-5</v>
      </c>
      <c r="O28">
        <f t="shared" si="2"/>
        <v>5.9000000000000004E-5</v>
      </c>
      <c r="P28">
        <f t="shared" si="3"/>
        <v>7.4346007832910125E-5</v>
      </c>
    </row>
    <row r="29" spans="1:16" x14ac:dyDescent="0.2">
      <c r="A29">
        <v>14000</v>
      </c>
      <c r="B29">
        <v>5.5000000000000002E-5</v>
      </c>
      <c r="C29">
        <v>6.8999999999999997E-5</v>
      </c>
      <c r="D29">
        <v>6.3E-5</v>
      </c>
      <c r="E29">
        <v>6.3E-5</v>
      </c>
      <c r="F29">
        <v>6.2000000000000003E-5</v>
      </c>
      <c r="G29">
        <v>6.7000000000000002E-5</v>
      </c>
      <c r="H29">
        <v>6.2000000000000003E-5</v>
      </c>
      <c r="I29">
        <v>6.2000000000000003E-5</v>
      </c>
      <c r="J29">
        <v>6.3E-5</v>
      </c>
      <c r="K29">
        <v>6.2000000000000003E-5</v>
      </c>
      <c r="M29">
        <f t="shared" si="0"/>
        <v>5.5000000000000002E-5</v>
      </c>
      <c r="N29">
        <f t="shared" si="1"/>
        <v>6.8999999999999997E-5</v>
      </c>
      <c r="O29">
        <f t="shared" si="2"/>
        <v>6.2799999999999995E-5</v>
      </c>
      <c r="P29">
        <f t="shared" si="3"/>
        <v>7.4630304642208292E-5</v>
      </c>
    </row>
    <row r="30" spans="1:16" x14ac:dyDescent="0.2">
      <c r="A30">
        <v>14500</v>
      </c>
      <c r="B30">
        <v>5.7000000000000003E-5</v>
      </c>
      <c r="C30">
        <v>5.3000000000000001E-5</v>
      </c>
      <c r="D30">
        <v>4.6999999999999997E-5</v>
      </c>
      <c r="E30">
        <v>4.8000000000000001E-5</v>
      </c>
      <c r="F30">
        <v>4.6999999999999997E-5</v>
      </c>
      <c r="G30">
        <v>5.3000000000000001E-5</v>
      </c>
      <c r="H30">
        <v>4.8999999999999998E-5</v>
      </c>
      <c r="I30">
        <v>4.8999999999999998E-5</v>
      </c>
      <c r="J30">
        <v>4.6999999999999997E-5</v>
      </c>
      <c r="K30">
        <v>4.8000000000000001E-5</v>
      </c>
      <c r="M30">
        <f t="shared" si="0"/>
        <v>4.6999999999999997E-5</v>
      </c>
      <c r="N30">
        <f t="shared" si="1"/>
        <v>5.7000000000000003E-5</v>
      </c>
      <c r="O30">
        <f t="shared" si="2"/>
        <v>4.9799999999999998E-5</v>
      </c>
      <c r="P30">
        <f t="shared" si="3"/>
        <v>7.4904624040229552E-5</v>
      </c>
    </row>
    <row r="31" spans="1:16" x14ac:dyDescent="0.2">
      <c r="A31">
        <v>15000</v>
      </c>
      <c r="B31">
        <v>5.7000000000000003E-5</v>
      </c>
      <c r="C31">
        <v>5.3999999999999998E-5</v>
      </c>
      <c r="D31">
        <v>5.8999999999999998E-5</v>
      </c>
      <c r="E31">
        <v>5.1999999999999997E-5</v>
      </c>
      <c r="F31">
        <v>5.3000000000000001E-5</v>
      </c>
      <c r="G31">
        <v>5.3999999999999998E-5</v>
      </c>
      <c r="H31">
        <v>5.7000000000000003E-5</v>
      </c>
      <c r="I31">
        <v>5.0000000000000002E-5</v>
      </c>
      <c r="J31">
        <v>5.1E-5</v>
      </c>
      <c r="K31">
        <v>4.8999999999999998E-5</v>
      </c>
      <c r="M31">
        <f t="shared" si="0"/>
        <v>4.8999999999999998E-5</v>
      </c>
      <c r="N31">
        <f t="shared" si="1"/>
        <v>5.8999999999999998E-5</v>
      </c>
      <c r="O31">
        <f t="shared" si="2"/>
        <v>5.3600000000000002E-5</v>
      </c>
      <c r="P31">
        <f t="shared" si="3"/>
        <v>7.5169642663002267E-5</v>
      </c>
    </row>
    <row r="32" spans="1:16" x14ac:dyDescent="0.2">
      <c r="A32">
        <v>15500</v>
      </c>
      <c r="B32">
        <v>5.8E-5</v>
      </c>
      <c r="C32">
        <v>5.0000000000000002E-5</v>
      </c>
      <c r="D32">
        <v>4.5000000000000003E-5</v>
      </c>
      <c r="E32">
        <v>4.6999999999999997E-5</v>
      </c>
      <c r="F32">
        <v>4.8000000000000001E-5</v>
      </c>
      <c r="G32">
        <v>5.5000000000000002E-5</v>
      </c>
      <c r="H32">
        <v>4.6999999999999997E-5</v>
      </c>
      <c r="I32">
        <v>4.6E-5</v>
      </c>
      <c r="J32">
        <v>4.5000000000000003E-5</v>
      </c>
      <c r="K32">
        <v>4.5000000000000003E-5</v>
      </c>
      <c r="M32">
        <f t="shared" si="0"/>
        <v>4.5000000000000003E-5</v>
      </c>
      <c r="N32">
        <f t="shared" si="1"/>
        <v>5.8E-5</v>
      </c>
      <c r="O32">
        <f t="shared" si="2"/>
        <v>4.8600000000000002E-5</v>
      </c>
      <c r="P32">
        <f t="shared" si="3"/>
        <v>7.5425970567065252E-5</v>
      </c>
    </row>
    <row r="33" spans="1:16" x14ac:dyDescent="0.2">
      <c r="A33">
        <v>16000</v>
      </c>
      <c r="B33">
        <v>5.3000000000000001E-5</v>
      </c>
      <c r="C33">
        <v>5.0000000000000002E-5</v>
      </c>
      <c r="D33">
        <v>4.8999999999999998E-5</v>
      </c>
      <c r="E33">
        <v>4.6999999999999997E-5</v>
      </c>
      <c r="F33">
        <v>4.6999999999999997E-5</v>
      </c>
      <c r="G33">
        <v>4.8000000000000001E-5</v>
      </c>
      <c r="H33">
        <v>4.6E-5</v>
      </c>
      <c r="I33">
        <v>5.5999999999999999E-5</v>
      </c>
      <c r="J33">
        <v>4.6999999999999997E-5</v>
      </c>
      <c r="K33">
        <v>4.6E-5</v>
      </c>
      <c r="M33">
        <f t="shared" si="0"/>
        <v>4.6E-5</v>
      </c>
      <c r="N33">
        <f t="shared" si="1"/>
        <v>5.5999999999999999E-5</v>
      </c>
      <c r="O33">
        <f t="shared" si="2"/>
        <v>4.8899999999999996E-5</v>
      </c>
      <c r="P33">
        <f t="shared" si="3"/>
        <v>7.5674159687806646E-5</v>
      </c>
    </row>
    <row r="34" spans="1:16" x14ac:dyDescent="0.2">
      <c r="A34">
        <v>16500</v>
      </c>
      <c r="B34">
        <v>4.8999999999999998E-5</v>
      </c>
      <c r="C34">
        <v>5.8E-5</v>
      </c>
      <c r="D34">
        <v>6.8999999999999997E-5</v>
      </c>
      <c r="E34">
        <v>7.2999999999999999E-5</v>
      </c>
      <c r="F34">
        <v>5.8999999999999998E-5</v>
      </c>
      <c r="G34">
        <v>6.0000000000000002E-5</v>
      </c>
      <c r="H34">
        <v>5.8999999999999998E-5</v>
      </c>
      <c r="I34">
        <v>6.6000000000000005E-5</v>
      </c>
      <c r="J34">
        <v>5.7000000000000003E-5</v>
      </c>
      <c r="K34">
        <v>6.0000000000000002E-5</v>
      </c>
      <c r="M34">
        <f t="shared" si="0"/>
        <v>4.8999999999999998E-5</v>
      </c>
      <c r="N34">
        <f t="shared" si="1"/>
        <v>7.2999999999999999E-5</v>
      </c>
      <c r="O34">
        <f t="shared" si="2"/>
        <v>6.0999999999999999E-5</v>
      </c>
      <c r="P34">
        <f t="shared" si="3"/>
        <v>7.5914710995850321E-5</v>
      </c>
    </row>
    <row r="35" spans="1:16" x14ac:dyDescent="0.2">
      <c r="A35">
        <v>17000</v>
      </c>
      <c r="B35">
        <v>5.7000000000000003E-5</v>
      </c>
      <c r="C35">
        <v>6.8999999999999997E-5</v>
      </c>
      <c r="D35">
        <v>5.1999999999999997E-5</v>
      </c>
      <c r="E35">
        <v>5.3999999999999998E-5</v>
      </c>
      <c r="F35">
        <v>5.3999999999999998E-5</v>
      </c>
      <c r="G35">
        <v>5.5000000000000002E-5</v>
      </c>
      <c r="H35">
        <v>6.4999999999999994E-5</v>
      </c>
      <c r="I35">
        <v>5.8E-5</v>
      </c>
      <c r="J35">
        <v>5.3999999999999998E-5</v>
      </c>
      <c r="K35">
        <v>5.3999999999999998E-5</v>
      </c>
      <c r="M35">
        <f t="shared" si="0"/>
        <v>5.1999999999999997E-5</v>
      </c>
      <c r="N35">
        <f t="shared" si="1"/>
        <v>6.8999999999999997E-5</v>
      </c>
      <c r="O35">
        <f t="shared" si="2"/>
        <v>5.7200000000000001E-5</v>
      </c>
      <c r="P35">
        <f t="shared" si="3"/>
        <v>7.614808058480893E-5</v>
      </c>
    </row>
    <row r="36" spans="1:16" x14ac:dyDescent="0.2">
      <c r="A36">
        <v>17500</v>
      </c>
      <c r="B36">
        <v>5.5999999999999999E-5</v>
      </c>
      <c r="C36">
        <v>6.0000000000000002E-5</v>
      </c>
      <c r="D36">
        <v>6.6000000000000005E-5</v>
      </c>
      <c r="E36">
        <v>6.0999999999999999E-5</v>
      </c>
      <c r="F36">
        <v>5.8E-5</v>
      </c>
      <c r="G36">
        <v>5.8999999999999998E-5</v>
      </c>
      <c r="H36">
        <v>5.8999999999999998E-5</v>
      </c>
      <c r="I36">
        <v>6.3E-5</v>
      </c>
      <c r="J36">
        <v>5.8999999999999998E-5</v>
      </c>
      <c r="K36">
        <v>5.8999999999999998E-5</v>
      </c>
      <c r="M36">
        <f t="shared" si="0"/>
        <v>5.5999999999999999E-5</v>
      </c>
      <c r="N36">
        <f t="shared" si="1"/>
        <v>6.6000000000000005E-5</v>
      </c>
      <c r="O36">
        <f t="shared" si="2"/>
        <v>6.0000000000000008E-5</v>
      </c>
      <c r="P36">
        <f t="shared" si="3"/>
        <v>7.63746848763533E-5</v>
      </c>
    </row>
    <row r="37" spans="1:16" x14ac:dyDescent="0.2">
      <c r="A37">
        <v>18000</v>
      </c>
      <c r="B37">
        <v>5.8E-5</v>
      </c>
      <c r="C37">
        <v>5.5000000000000002E-5</v>
      </c>
      <c r="D37">
        <v>5.5000000000000002E-5</v>
      </c>
      <c r="E37">
        <v>5.5000000000000002E-5</v>
      </c>
      <c r="F37">
        <v>6.4999999999999994E-5</v>
      </c>
      <c r="G37">
        <v>5.3999999999999998E-5</v>
      </c>
      <c r="H37">
        <v>5.5999999999999999E-5</v>
      </c>
      <c r="I37">
        <v>5.3999999999999998E-5</v>
      </c>
      <c r="J37">
        <v>5.5000000000000002E-5</v>
      </c>
      <c r="K37">
        <v>5.3999999999999998E-5</v>
      </c>
      <c r="M37">
        <f t="shared" si="0"/>
        <v>5.3999999999999998E-5</v>
      </c>
      <c r="N37">
        <f t="shared" si="1"/>
        <v>6.4999999999999994E-5</v>
      </c>
      <c r="O37">
        <f t="shared" si="2"/>
        <v>5.6100000000000008E-5</v>
      </c>
      <c r="P37">
        <f t="shared" si="3"/>
        <v>7.6594905091859525E-5</v>
      </c>
    </row>
    <row r="38" spans="1:16" x14ac:dyDescent="0.2">
      <c r="A38">
        <v>18500</v>
      </c>
      <c r="B38">
        <v>5.3999999999999998E-5</v>
      </c>
      <c r="C38">
        <v>6.0999999999999999E-5</v>
      </c>
      <c r="D38">
        <v>7.2999999999999999E-5</v>
      </c>
      <c r="E38">
        <v>6.0999999999999999E-5</v>
      </c>
      <c r="F38">
        <v>6.0999999999999999E-5</v>
      </c>
      <c r="G38">
        <v>6.0000000000000002E-5</v>
      </c>
      <c r="H38">
        <v>6.3E-5</v>
      </c>
      <c r="I38">
        <v>6.8999999999999997E-5</v>
      </c>
      <c r="J38">
        <v>6.3999999999999997E-5</v>
      </c>
      <c r="K38">
        <v>6.8999999999999997E-5</v>
      </c>
      <c r="M38">
        <f t="shared" si="0"/>
        <v>5.3999999999999998E-5</v>
      </c>
      <c r="N38">
        <f t="shared" si="1"/>
        <v>7.2999999999999999E-5</v>
      </c>
      <c r="O38">
        <f t="shared" si="2"/>
        <v>6.3500000000000012E-5</v>
      </c>
      <c r="P38">
        <f t="shared" si="3"/>
        <v>7.6809091111254245E-5</v>
      </c>
    </row>
    <row r="39" spans="1:16" x14ac:dyDescent="0.2">
      <c r="A39">
        <v>19000</v>
      </c>
      <c r="B39">
        <v>6.2000000000000003E-5</v>
      </c>
      <c r="C39">
        <v>6.6000000000000005E-5</v>
      </c>
      <c r="D39">
        <v>5.5000000000000002E-5</v>
      </c>
      <c r="E39">
        <v>6.3999999999999997E-5</v>
      </c>
      <c r="F39">
        <v>5.3999999999999998E-5</v>
      </c>
      <c r="G39">
        <v>5.5000000000000002E-5</v>
      </c>
      <c r="H39">
        <v>5.3999999999999998E-5</v>
      </c>
      <c r="I39">
        <v>5.5999999999999999E-5</v>
      </c>
      <c r="J39">
        <v>6.6000000000000005E-5</v>
      </c>
      <c r="K39">
        <v>6.2000000000000003E-5</v>
      </c>
      <c r="M39">
        <f t="shared" si="0"/>
        <v>5.3999999999999998E-5</v>
      </c>
      <c r="N39">
        <f t="shared" si="1"/>
        <v>6.6000000000000005E-5</v>
      </c>
      <c r="O39">
        <f t="shared" si="2"/>
        <v>5.94E-5</v>
      </c>
      <c r="P39">
        <f t="shared" si="3"/>
        <v>7.701756481715092E-5</v>
      </c>
    </row>
    <row r="40" spans="1:16" x14ac:dyDescent="0.2">
      <c r="A40">
        <v>19500</v>
      </c>
      <c r="B40">
        <v>5.5000000000000002E-5</v>
      </c>
      <c r="C40">
        <v>6.3E-5</v>
      </c>
      <c r="D40">
        <v>6.0999999999999999E-5</v>
      </c>
      <c r="E40">
        <v>6.7999999999999999E-5</v>
      </c>
      <c r="F40">
        <v>6.3E-5</v>
      </c>
      <c r="G40">
        <v>7.2000000000000002E-5</v>
      </c>
      <c r="H40">
        <v>6.2000000000000003E-5</v>
      </c>
      <c r="I40">
        <v>6.3E-5</v>
      </c>
      <c r="J40">
        <v>6.3999999999999997E-5</v>
      </c>
      <c r="K40">
        <v>6.3999999999999997E-5</v>
      </c>
      <c r="M40">
        <f t="shared" si="0"/>
        <v>5.5000000000000002E-5</v>
      </c>
      <c r="N40">
        <f t="shared" si="1"/>
        <v>7.2000000000000002E-5</v>
      </c>
      <c r="O40">
        <f t="shared" si="2"/>
        <v>6.3499999999999999E-5</v>
      </c>
      <c r="P40">
        <f t="shared" si="3"/>
        <v>7.7220623004525325E-5</v>
      </c>
    </row>
    <row r="41" spans="1:16" x14ac:dyDescent="0.2">
      <c r="A41">
        <v>20000</v>
      </c>
      <c r="B41">
        <v>8.1000000000000004E-5</v>
      </c>
      <c r="C41">
        <v>7.2000000000000002E-5</v>
      </c>
      <c r="D41">
        <v>6.7000000000000002E-5</v>
      </c>
      <c r="E41">
        <v>7.2999999999999999E-5</v>
      </c>
      <c r="F41">
        <v>7.2000000000000002E-5</v>
      </c>
      <c r="G41">
        <v>6.7999999999999999E-5</v>
      </c>
      <c r="H41">
        <v>6.7999999999999999E-5</v>
      </c>
      <c r="I41">
        <v>6.7000000000000002E-5</v>
      </c>
      <c r="J41">
        <v>6.8999999999999997E-5</v>
      </c>
      <c r="K41">
        <v>6.9999999999999994E-5</v>
      </c>
      <c r="M41">
        <f t="shared" si="0"/>
        <v>6.7000000000000002E-5</v>
      </c>
      <c r="N41">
        <f t="shared" si="1"/>
        <v>8.1000000000000004E-5</v>
      </c>
      <c r="O41">
        <f t="shared" si="2"/>
        <v>7.0699999999999997E-5</v>
      </c>
      <c r="P41">
        <f t="shared" si="3"/>
        <v>7.7418539921951667E-5</v>
      </c>
    </row>
    <row r="42" spans="1:16" x14ac:dyDescent="0.2">
      <c r="A42">
        <v>20500</v>
      </c>
      <c r="B42">
        <v>6.8999999999999997E-5</v>
      </c>
      <c r="C42">
        <v>6.0999999999999999E-5</v>
      </c>
      <c r="D42">
        <v>5.8999999999999998E-5</v>
      </c>
      <c r="E42">
        <v>7.2000000000000002E-5</v>
      </c>
      <c r="F42">
        <v>6.0000000000000002E-5</v>
      </c>
      <c r="G42">
        <v>6.2000000000000003E-5</v>
      </c>
      <c r="H42">
        <v>5.8E-5</v>
      </c>
      <c r="I42">
        <v>6.3E-5</v>
      </c>
      <c r="J42">
        <v>5.8E-5</v>
      </c>
      <c r="K42">
        <v>5.8E-5</v>
      </c>
      <c r="M42">
        <f t="shared" si="0"/>
        <v>5.8E-5</v>
      </c>
      <c r="N42">
        <f t="shared" si="1"/>
        <v>7.2000000000000002E-5</v>
      </c>
      <c r="O42">
        <f t="shared" si="2"/>
        <v>6.2000000000000003E-5</v>
      </c>
      <c r="P42">
        <f t="shared" si="3"/>
        <v>7.7611569499003578E-5</v>
      </c>
    </row>
    <row r="43" spans="1:16" x14ac:dyDescent="0.2">
      <c r="A43">
        <v>21000</v>
      </c>
      <c r="B43">
        <v>6.0000000000000002E-5</v>
      </c>
      <c r="C43">
        <v>6.4999999999999994E-5</v>
      </c>
      <c r="D43">
        <v>7.7000000000000001E-5</v>
      </c>
      <c r="E43">
        <v>7.1000000000000005E-5</v>
      </c>
      <c r="F43">
        <v>6.7000000000000002E-5</v>
      </c>
      <c r="G43">
        <v>6.6000000000000005E-5</v>
      </c>
      <c r="H43">
        <v>6.7999999999999999E-5</v>
      </c>
      <c r="I43">
        <v>6.7999999999999999E-5</v>
      </c>
      <c r="J43">
        <v>6.3999999999999997E-5</v>
      </c>
      <c r="K43">
        <v>6.6000000000000005E-5</v>
      </c>
      <c r="M43">
        <f>MIN(B43:K43)</f>
        <v>6.0000000000000002E-5</v>
      </c>
      <c r="N43">
        <f>MAX(B43:K43)</f>
        <v>7.7000000000000001E-5</v>
      </c>
      <c r="O43">
        <f>AVERAGE(B43:K43)</f>
        <v>6.7200000000000007E-5</v>
      </c>
      <c r="P43">
        <f t="shared" si="3"/>
        <v>7.7799947305210557E-5</v>
      </c>
    </row>
    <row r="44" spans="1:16" x14ac:dyDescent="0.2">
      <c r="A44">
        <v>21500</v>
      </c>
      <c r="B44">
        <v>6.6000000000000005E-5</v>
      </c>
      <c r="C44">
        <v>6.0000000000000002E-5</v>
      </c>
      <c r="D44">
        <v>6.0000000000000002E-5</v>
      </c>
      <c r="E44">
        <v>6.0000000000000002E-5</v>
      </c>
      <c r="F44">
        <v>6.0000000000000002E-5</v>
      </c>
      <c r="G44">
        <v>6.9999999999999994E-5</v>
      </c>
      <c r="H44">
        <v>6.2000000000000003E-5</v>
      </c>
      <c r="I44">
        <v>5.8E-5</v>
      </c>
      <c r="J44">
        <v>6.2000000000000003E-5</v>
      </c>
      <c r="K44">
        <v>6.9999999999999994E-5</v>
      </c>
      <c r="M44">
        <f t="shared" si="0"/>
        <v>5.8E-5</v>
      </c>
      <c r="N44">
        <f t="shared" si="1"/>
        <v>6.9999999999999994E-5</v>
      </c>
      <c r="O44">
        <f t="shared" si="2"/>
        <v>6.2799999999999995E-5</v>
      </c>
      <c r="P44">
        <f t="shared" si="3"/>
        <v>7.7983892278480894E-5</v>
      </c>
    </row>
    <row r="45" spans="1:16" x14ac:dyDescent="0.2">
      <c r="A45">
        <v>22000</v>
      </c>
      <c r="B45">
        <v>6.0999999999999999E-5</v>
      </c>
      <c r="C45">
        <v>6.0999999999999999E-5</v>
      </c>
      <c r="D45">
        <v>6.0999999999999999E-5</v>
      </c>
      <c r="E45">
        <v>6.3E-5</v>
      </c>
      <c r="F45">
        <v>6.2000000000000003E-5</v>
      </c>
      <c r="G45">
        <v>6.2000000000000003E-5</v>
      </c>
      <c r="H45">
        <v>6.0999999999999999E-5</v>
      </c>
      <c r="I45">
        <v>6.3E-5</v>
      </c>
      <c r="J45">
        <v>6.0000000000000002E-5</v>
      </c>
      <c r="K45">
        <v>6.3E-5</v>
      </c>
      <c r="M45">
        <f t="shared" si="0"/>
        <v>6.0000000000000002E-5</v>
      </c>
      <c r="N45">
        <f t="shared" si="1"/>
        <v>6.3E-5</v>
      </c>
      <c r="O45">
        <f t="shared" si="2"/>
        <v>6.1700000000000009E-5</v>
      </c>
      <c r="P45">
        <f t="shared" si="3"/>
        <v>7.8163608254799721E-5</v>
      </c>
    </row>
    <row r="46" spans="1:16" x14ac:dyDescent="0.2">
      <c r="A46">
        <v>22500</v>
      </c>
      <c r="B46">
        <v>6.0999999999999999E-5</v>
      </c>
      <c r="C46">
        <v>7.6000000000000004E-5</v>
      </c>
      <c r="D46">
        <v>6.2000000000000003E-5</v>
      </c>
      <c r="E46">
        <v>6.3999999999999997E-5</v>
      </c>
      <c r="F46">
        <v>6.4999999999999994E-5</v>
      </c>
      <c r="G46">
        <v>6.4999999999999994E-5</v>
      </c>
      <c r="H46">
        <v>6.4999999999999994E-5</v>
      </c>
      <c r="I46">
        <v>6.6000000000000005E-5</v>
      </c>
      <c r="J46">
        <v>6.8999999999999997E-5</v>
      </c>
      <c r="K46">
        <v>6.7999999999999999E-5</v>
      </c>
      <c r="M46">
        <f t="shared" si="0"/>
        <v>6.0999999999999999E-5</v>
      </c>
      <c r="N46">
        <f t="shared" si="1"/>
        <v>7.6000000000000004E-5</v>
      </c>
      <c r="O46">
        <f t="shared" si="2"/>
        <v>6.6100000000000007E-5</v>
      </c>
      <c r="P46">
        <f t="shared" si="3"/>
        <v>7.8339285326004533E-5</v>
      </c>
    </row>
    <row r="47" spans="1:16" x14ac:dyDescent="0.2">
      <c r="A47">
        <v>23000</v>
      </c>
      <c r="B47">
        <v>6.3E-5</v>
      </c>
      <c r="C47">
        <v>7.2000000000000002E-5</v>
      </c>
      <c r="D47">
        <v>6.3E-5</v>
      </c>
      <c r="E47">
        <v>6.8999999999999997E-5</v>
      </c>
      <c r="F47">
        <v>6.2000000000000003E-5</v>
      </c>
      <c r="G47">
        <v>6.0000000000000002E-5</v>
      </c>
      <c r="H47">
        <v>5.8E-5</v>
      </c>
      <c r="I47">
        <v>5.8E-5</v>
      </c>
      <c r="J47">
        <v>7.1000000000000005E-5</v>
      </c>
      <c r="K47">
        <v>5.8999999999999998E-5</v>
      </c>
      <c r="M47">
        <f t="shared" si="0"/>
        <v>5.8E-5</v>
      </c>
      <c r="N47">
        <f t="shared" si="1"/>
        <v>7.2000000000000002E-5</v>
      </c>
      <c r="O47">
        <f t="shared" si="2"/>
        <v>6.3499999999999999E-5</v>
      </c>
      <c r="P47">
        <f t="shared" si="3"/>
        <v>7.8511101048316681E-5</v>
      </c>
    </row>
    <row r="48" spans="1:16" x14ac:dyDescent="0.2">
      <c r="A48">
        <v>23500</v>
      </c>
      <c r="B48">
        <v>5.8999999999999998E-5</v>
      </c>
      <c r="C48">
        <v>6.7999999999999999E-5</v>
      </c>
      <c r="D48">
        <v>6.8999999999999997E-5</v>
      </c>
      <c r="E48">
        <v>6.0000000000000002E-5</v>
      </c>
      <c r="F48">
        <v>6.4999999999999994E-5</v>
      </c>
      <c r="G48">
        <v>6.8999999999999997E-5</v>
      </c>
      <c r="H48">
        <v>6.0999999999999999E-5</v>
      </c>
      <c r="I48">
        <v>6.0000000000000002E-5</v>
      </c>
      <c r="J48">
        <v>5.8999999999999998E-5</v>
      </c>
      <c r="K48">
        <v>5.7000000000000003E-5</v>
      </c>
      <c r="M48">
        <f t="shared" si="0"/>
        <v>5.7000000000000003E-5</v>
      </c>
      <c r="N48">
        <f t="shared" si="1"/>
        <v>6.8999999999999997E-5</v>
      </c>
      <c r="O48">
        <f t="shared" si="2"/>
        <v>6.2700000000000006E-5</v>
      </c>
      <c r="P48">
        <f t="shared" si="3"/>
        <v>7.867922152089124E-5</v>
      </c>
    </row>
    <row r="49" spans="1:16" x14ac:dyDescent="0.2">
      <c r="A49">
        <v>24000</v>
      </c>
      <c r="B49">
        <v>7.3999999999999996E-5</v>
      </c>
      <c r="C49">
        <v>6.9999999999999994E-5</v>
      </c>
      <c r="D49">
        <v>6.4999999999999994E-5</v>
      </c>
      <c r="E49">
        <v>6.7000000000000002E-5</v>
      </c>
      <c r="F49">
        <v>6.4999999999999994E-5</v>
      </c>
      <c r="G49">
        <v>7.1000000000000005E-5</v>
      </c>
      <c r="H49">
        <v>6.6000000000000005E-5</v>
      </c>
      <c r="I49">
        <v>6.7000000000000002E-5</v>
      </c>
      <c r="J49">
        <v>6.6000000000000005E-5</v>
      </c>
      <c r="K49">
        <v>6.6000000000000005E-5</v>
      </c>
      <c r="M49">
        <f t="shared" si="0"/>
        <v>6.4999999999999994E-5</v>
      </c>
      <c r="N49">
        <f t="shared" si="1"/>
        <v>7.3999999999999996E-5</v>
      </c>
      <c r="O49">
        <f t="shared" si="2"/>
        <v>6.7699999999999992E-5</v>
      </c>
      <c r="P49">
        <f t="shared" si="3"/>
        <v>7.8843802350808911E-5</v>
      </c>
    </row>
    <row r="50" spans="1:16" x14ac:dyDescent="0.2">
      <c r="A50">
        <v>24500</v>
      </c>
      <c r="B50">
        <v>6.7000000000000002E-5</v>
      </c>
      <c r="C50">
        <v>6.4999999999999994E-5</v>
      </c>
      <c r="D50">
        <v>7.3999999999999996E-5</v>
      </c>
      <c r="E50">
        <v>6.7999999999999999E-5</v>
      </c>
      <c r="F50">
        <v>6.0999999999999999E-5</v>
      </c>
      <c r="G50">
        <v>6.0000000000000002E-5</v>
      </c>
      <c r="H50">
        <v>7.4999999999999993E-5</v>
      </c>
      <c r="I50">
        <v>6.0999999999999999E-5</v>
      </c>
      <c r="J50">
        <v>6.0999999999999999E-5</v>
      </c>
      <c r="K50">
        <v>6.3999999999999997E-5</v>
      </c>
      <c r="M50">
        <f t="shared" si="0"/>
        <v>6.0000000000000002E-5</v>
      </c>
      <c r="N50">
        <f t="shared" si="1"/>
        <v>7.4999999999999993E-5</v>
      </c>
      <c r="O50">
        <f t="shared" si="2"/>
        <v>6.5599999999999995E-5</v>
      </c>
      <c r="P50">
        <f t="shared" si="3"/>
        <v>7.900498951856159E-5</v>
      </c>
    </row>
    <row r="51" spans="1:16" x14ac:dyDescent="0.2">
      <c r="A51">
        <v>25000</v>
      </c>
      <c r="B51">
        <v>6.3E-5</v>
      </c>
      <c r="C51">
        <v>6.3999999999999997E-5</v>
      </c>
      <c r="D51">
        <v>6.4999999999999994E-5</v>
      </c>
      <c r="E51">
        <v>7.3999999999999996E-5</v>
      </c>
      <c r="F51">
        <v>6.7999999999999999E-5</v>
      </c>
      <c r="G51">
        <v>6.2000000000000003E-5</v>
      </c>
      <c r="H51">
        <v>6.2000000000000003E-5</v>
      </c>
      <c r="I51">
        <v>6.3E-5</v>
      </c>
      <c r="J51">
        <v>6.2000000000000003E-5</v>
      </c>
      <c r="K51">
        <v>6.3E-5</v>
      </c>
      <c r="M51">
        <f t="shared" si="0"/>
        <v>6.2000000000000003E-5</v>
      </c>
      <c r="N51">
        <f t="shared" si="1"/>
        <v>7.3999999999999996E-5</v>
      </c>
      <c r="O51">
        <f t="shared" si="2"/>
        <v>6.4599999999999998E-5</v>
      </c>
      <c r="P51">
        <f t="shared" si="3"/>
        <v>7.9162920156096675E-5</v>
      </c>
    </row>
    <row r="52" spans="1:16" x14ac:dyDescent="0.2">
      <c r="A52">
        <v>25500</v>
      </c>
      <c r="B52">
        <v>6.7000000000000002E-5</v>
      </c>
      <c r="C52">
        <v>7.2999999999999999E-5</v>
      </c>
      <c r="D52">
        <v>6.2000000000000003E-5</v>
      </c>
      <c r="E52">
        <v>6.6000000000000005E-5</v>
      </c>
      <c r="F52">
        <v>7.2000000000000002E-5</v>
      </c>
      <c r="G52">
        <v>6.9999999999999994E-5</v>
      </c>
      <c r="H52">
        <v>6.3E-5</v>
      </c>
      <c r="I52">
        <v>6.3E-5</v>
      </c>
      <c r="J52">
        <v>6.3E-5</v>
      </c>
      <c r="K52">
        <v>5.8999999999999998E-5</v>
      </c>
      <c r="M52">
        <f t="shared" si="0"/>
        <v>5.8999999999999998E-5</v>
      </c>
      <c r="N52">
        <f t="shared" si="1"/>
        <v>7.2999999999999999E-5</v>
      </c>
      <c r="O52">
        <f t="shared" si="2"/>
        <v>6.58E-5</v>
      </c>
      <c r="P52">
        <f t="shared" si="3"/>
        <v>7.9317723247811196E-5</v>
      </c>
    </row>
    <row r="53" spans="1:16" x14ac:dyDescent="0.2">
      <c r="A53">
        <v>26000</v>
      </c>
      <c r="B53">
        <v>6.0999999999999999E-5</v>
      </c>
      <c r="C53">
        <v>6.2000000000000003E-5</v>
      </c>
      <c r="D53">
        <v>6.2000000000000003E-5</v>
      </c>
      <c r="E53">
        <v>7.3999999999999996E-5</v>
      </c>
      <c r="F53">
        <v>6.9999999999999994E-5</v>
      </c>
      <c r="G53">
        <v>6.0999999999999999E-5</v>
      </c>
      <c r="H53">
        <v>6.2000000000000003E-5</v>
      </c>
      <c r="I53">
        <v>6.3E-5</v>
      </c>
      <c r="J53">
        <v>6.9999999999999994E-5</v>
      </c>
      <c r="K53">
        <v>6.2000000000000003E-5</v>
      </c>
      <c r="M53">
        <f t="shared" si="0"/>
        <v>6.0999999999999999E-5</v>
      </c>
      <c r="N53">
        <f t="shared" si="1"/>
        <v>7.3999999999999996E-5</v>
      </c>
      <c r="O53">
        <f t="shared" si="2"/>
        <v>6.4699999999999987E-5</v>
      </c>
      <c r="P53">
        <f t="shared" si="3"/>
        <v>7.9469520263474725E-5</v>
      </c>
    </row>
    <row r="54" spans="1:16" x14ac:dyDescent="0.2">
      <c r="A54">
        <v>26500</v>
      </c>
      <c r="B54">
        <v>6.3999999999999997E-5</v>
      </c>
      <c r="C54">
        <v>6.4999999999999994E-5</v>
      </c>
      <c r="D54">
        <v>6.7999999999999999E-5</v>
      </c>
      <c r="E54">
        <v>6.6000000000000005E-5</v>
      </c>
      <c r="F54">
        <v>6.3E-5</v>
      </c>
      <c r="G54">
        <v>6.6000000000000005E-5</v>
      </c>
      <c r="H54">
        <v>6.7000000000000002E-5</v>
      </c>
      <c r="I54">
        <v>6.4999999999999994E-5</v>
      </c>
      <c r="J54">
        <v>6.8999999999999997E-5</v>
      </c>
      <c r="K54">
        <v>6.4999999999999994E-5</v>
      </c>
      <c r="M54">
        <f t="shared" si="0"/>
        <v>6.3E-5</v>
      </c>
      <c r="N54">
        <f t="shared" si="1"/>
        <v>6.8999999999999997E-5</v>
      </c>
      <c r="O54">
        <f t="shared" si="2"/>
        <v>6.58E-5</v>
      </c>
      <c r="P54">
        <f t="shared" si="3"/>
        <v>7.9618425730862546E-5</v>
      </c>
    </row>
    <row r="55" spans="1:16" x14ac:dyDescent="0.2">
      <c r="A55">
        <v>27000</v>
      </c>
      <c r="B55">
        <v>6.7000000000000002E-5</v>
      </c>
      <c r="C55">
        <v>5.1E-5</v>
      </c>
      <c r="D55">
        <v>5.8999999999999998E-5</v>
      </c>
      <c r="E55">
        <v>5.1999999999999997E-5</v>
      </c>
      <c r="F55">
        <v>5.3999999999999998E-5</v>
      </c>
      <c r="G55">
        <v>5.0000000000000002E-5</v>
      </c>
      <c r="H55">
        <v>5.1E-5</v>
      </c>
      <c r="I55">
        <v>4.8999999999999998E-5</v>
      </c>
      <c r="J55">
        <v>5.1E-5</v>
      </c>
      <c r="K55">
        <v>5.1999999999999997E-5</v>
      </c>
      <c r="M55">
        <f t="shared" si="0"/>
        <v>4.8999999999999998E-5</v>
      </c>
      <c r="N55">
        <f t="shared" si="1"/>
        <v>6.7000000000000002E-5</v>
      </c>
      <c r="O55">
        <f t="shared" si="2"/>
        <v>5.3600000000000002E-5</v>
      </c>
      <c r="P55">
        <f t="shared" si="3"/>
        <v>7.9764547754861763E-5</v>
      </c>
    </row>
    <row r="56" spans="1:16" x14ac:dyDescent="0.2">
      <c r="A56">
        <v>27500</v>
      </c>
      <c r="B56">
        <v>5.5000000000000002E-5</v>
      </c>
      <c r="C56">
        <v>6.9999999999999994E-5</v>
      </c>
      <c r="D56">
        <v>5.7000000000000003E-5</v>
      </c>
      <c r="E56">
        <v>5.3000000000000001E-5</v>
      </c>
      <c r="F56">
        <v>5.7000000000000003E-5</v>
      </c>
      <c r="G56">
        <v>6.2000000000000003E-5</v>
      </c>
      <c r="H56">
        <v>5.5999999999999999E-5</v>
      </c>
      <c r="I56">
        <v>5.7000000000000003E-5</v>
      </c>
      <c r="J56">
        <v>5.5000000000000002E-5</v>
      </c>
      <c r="K56">
        <v>5.5999999999999999E-5</v>
      </c>
      <c r="M56">
        <f t="shared" si="0"/>
        <v>5.3000000000000001E-5</v>
      </c>
      <c r="N56">
        <f t="shared" si="1"/>
        <v>6.9999999999999994E-5</v>
      </c>
      <c r="O56">
        <f t="shared" si="2"/>
        <v>5.7800000000000009E-5</v>
      </c>
      <c r="P56">
        <f t="shared" si="3"/>
        <v>7.9907988488944729E-5</v>
      </c>
    </row>
    <row r="57" spans="1:16" x14ac:dyDescent="0.2">
      <c r="A57">
        <v>28000</v>
      </c>
      <c r="B57">
        <v>5.5000000000000002E-5</v>
      </c>
      <c r="C57">
        <v>6.0000000000000002E-5</v>
      </c>
      <c r="D57">
        <v>7.1000000000000005E-5</v>
      </c>
      <c r="E57">
        <v>6.2000000000000003E-5</v>
      </c>
      <c r="F57">
        <v>5.8999999999999998E-5</v>
      </c>
      <c r="G57">
        <v>6.6000000000000005E-5</v>
      </c>
      <c r="H57">
        <v>6.0999999999999999E-5</v>
      </c>
      <c r="I57">
        <v>6.0000000000000002E-5</v>
      </c>
      <c r="J57">
        <v>6.3999999999999997E-5</v>
      </c>
      <c r="K57">
        <v>5.8999999999999998E-5</v>
      </c>
      <c r="M57">
        <f t="shared" si="0"/>
        <v>5.5000000000000002E-5</v>
      </c>
      <c r="N57">
        <f t="shared" si="1"/>
        <v>7.1000000000000005E-5</v>
      </c>
      <c r="O57">
        <f t="shared" si="2"/>
        <v>6.1700000000000009E-5</v>
      </c>
      <c r="P57">
        <f t="shared" si="3"/>
        <v>8.0048844564159957E-5</v>
      </c>
    </row>
    <row r="58" spans="1:16" x14ac:dyDescent="0.2">
      <c r="A58">
        <v>28500</v>
      </c>
      <c r="B58">
        <v>6.3E-5</v>
      </c>
      <c r="C58">
        <v>6.6000000000000005E-5</v>
      </c>
      <c r="D58">
        <v>6.6000000000000005E-5</v>
      </c>
      <c r="E58">
        <v>6.4999999999999994E-5</v>
      </c>
      <c r="F58">
        <v>6.6000000000000005E-5</v>
      </c>
      <c r="G58">
        <v>6.9999999999999994E-5</v>
      </c>
      <c r="H58">
        <v>6.3999999999999997E-5</v>
      </c>
      <c r="I58">
        <v>6.4999999999999994E-5</v>
      </c>
      <c r="J58">
        <v>6.3E-5</v>
      </c>
      <c r="K58">
        <v>6.4999999999999994E-5</v>
      </c>
      <c r="M58">
        <f t="shared" si="0"/>
        <v>6.3E-5</v>
      </c>
      <c r="N58">
        <f t="shared" si="1"/>
        <v>6.9999999999999994E-5</v>
      </c>
      <c r="O58">
        <f t="shared" si="2"/>
        <v>6.5299999999999988E-5</v>
      </c>
      <c r="P58">
        <f t="shared" si="3"/>
        <v>8.0187207480153185E-5</v>
      </c>
    </row>
    <row r="59" spans="1:16" x14ac:dyDescent="0.2">
      <c r="A59">
        <v>29000</v>
      </c>
      <c r="B59">
        <v>6.6000000000000005E-5</v>
      </c>
      <c r="C59">
        <v>6.2000000000000003E-5</v>
      </c>
      <c r="D59">
        <v>6.6000000000000005E-5</v>
      </c>
      <c r="E59">
        <v>6.3999999999999997E-5</v>
      </c>
      <c r="F59">
        <v>6.3E-5</v>
      </c>
      <c r="G59">
        <v>6.3999999999999997E-5</v>
      </c>
      <c r="H59">
        <v>6.7000000000000002E-5</v>
      </c>
      <c r="I59">
        <v>6.3E-5</v>
      </c>
      <c r="J59">
        <v>6.0999999999999999E-5</v>
      </c>
      <c r="K59">
        <v>6.2000000000000003E-5</v>
      </c>
      <c r="M59">
        <f t="shared" si="0"/>
        <v>6.0999999999999999E-5</v>
      </c>
      <c r="N59">
        <f t="shared" si="1"/>
        <v>6.7000000000000002E-5</v>
      </c>
      <c r="O59">
        <f t="shared" si="2"/>
        <v>6.3800000000000006E-5</v>
      </c>
      <c r="P59">
        <f t="shared" si="3"/>
        <v>8.0323163962181217E-5</v>
      </c>
    </row>
    <row r="60" spans="1:16" x14ac:dyDescent="0.2">
      <c r="A60">
        <v>29500</v>
      </c>
      <c r="B60">
        <v>6.2000000000000003E-5</v>
      </c>
      <c r="C60">
        <v>7.4999999999999993E-5</v>
      </c>
      <c r="D60">
        <v>7.2000000000000002E-5</v>
      </c>
      <c r="E60">
        <v>6.7999999999999999E-5</v>
      </c>
      <c r="F60">
        <v>6.6000000000000005E-5</v>
      </c>
      <c r="G60">
        <v>6.7999999999999999E-5</v>
      </c>
      <c r="H60">
        <v>6.7000000000000002E-5</v>
      </c>
      <c r="I60">
        <v>6.6000000000000005E-5</v>
      </c>
      <c r="J60">
        <v>6.8999999999999997E-5</v>
      </c>
      <c r="K60">
        <v>6.7000000000000002E-5</v>
      </c>
      <c r="M60">
        <f t="shared" si="0"/>
        <v>6.2000000000000003E-5</v>
      </c>
      <c r="N60">
        <f t="shared" si="1"/>
        <v>7.4999999999999993E-5</v>
      </c>
      <c r="O60">
        <f t="shared" si="2"/>
        <v>6.7999999999999999E-5</v>
      </c>
      <c r="P60">
        <f t="shared" si="3"/>
        <v>8.0456796287606941E-5</v>
      </c>
    </row>
    <row r="61" spans="1:16" x14ac:dyDescent="0.2">
      <c r="A61">
        <v>30000</v>
      </c>
      <c r="B61">
        <v>6.7999999999999999E-5</v>
      </c>
      <c r="C61">
        <v>6.7999999999999999E-5</v>
      </c>
      <c r="D61">
        <v>6.3999999999999997E-5</v>
      </c>
      <c r="E61">
        <v>6.3E-5</v>
      </c>
      <c r="F61">
        <v>6.4999999999999994E-5</v>
      </c>
      <c r="G61">
        <v>6.0999999999999999E-5</v>
      </c>
      <c r="H61">
        <v>6.3999999999999997E-5</v>
      </c>
      <c r="I61">
        <v>6.3E-5</v>
      </c>
      <c r="J61">
        <v>6.4999999999999994E-5</v>
      </c>
      <c r="K61">
        <v>6.4999999999999994E-5</v>
      </c>
      <c r="M61">
        <f t="shared" si="0"/>
        <v>6.0999999999999999E-5</v>
      </c>
      <c r="N61">
        <f t="shared" si="1"/>
        <v>6.7999999999999999E-5</v>
      </c>
      <c r="O61">
        <f t="shared" si="2"/>
        <v>6.4599999999999985E-5</v>
      </c>
      <c r="P61">
        <f t="shared" si="3"/>
        <v>8.0588182584953933E-5</v>
      </c>
    </row>
    <row r="62" spans="1:16" x14ac:dyDescent="0.2">
      <c r="A62">
        <v>30500</v>
      </c>
      <c r="B62">
        <v>6.4999999999999994E-5</v>
      </c>
      <c r="C62">
        <v>6.7000000000000002E-5</v>
      </c>
      <c r="D62">
        <v>6.8999999999999997E-5</v>
      </c>
      <c r="E62">
        <v>6.7999999999999999E-5</v>
      </c>
      <c r="F62">
        <v>6.6000000000000005E-5</v>
      </c>
      <c r="G62">
        <v>6.8999999999999997E-5</v>
      </c>
      <c r="H62">
        <v>6.8999999999999997E-5</v>
      </c>
      <c r="I62">
        <v>6.4999999999999994E-5</v>
      </c>
      <c r="J62">
        <v>6.7000000000000002E-5</v>
      </c>
      <c r="K62">
        <v>6.7000000000000002E-5</v>
      </c>
      <c r="M62">
        <f t="shared" si="0"/>
        <v>6.4999999999999994E-5</v>
      </c>
      <c r="N62">
        <f t="shared" si="1"/>
        <v>6.8999999999999997E-5</v>
      </c>
      <c r="O62">
        <f t="shared" si="2"/>
        <v>6.7199999999999994E-5</v>
      </c>
      <c r="P62">
        <f t="shared" si="3"/>
        <v>8.0717397108242143E-5</v>
      </c>
    </row>
    <row r="63" spans="1:16" x14ac:dyDescent="0.2">
      <c r="A63">
        <v>31000</v>
      </c>
      <c r="B63">
        <v>6.6000000000000005E-5</v>
      </c>
      <c r="C63">
        <v>6.6000000000000005E-5</v>
      </c>
      <c r="D63">
        <v>6.4999999999999994E-5</v>
      </c>
      <c r="E63">
        <v>6.3999999999999997E-5</v>
      </c>
      <c r="F63">
        <v>6.7000000000000002E-5</v>
      </c>
      <c r="G63">
        <v>6.3999999999999997E-5</v>
      </c>
      <c r="H63">
        <v>6.7000000000000002E-5</v>
      </c>
      <c r="I63">
        <v>8.2999999999999998E-5</v>
      </c>
      <c r="J63">
        <v>7.4999999999999993E-5</v>
      </c>
      <c r="K63">
        <v>6.3E-5</v>
      </c>
      <c r="M63">
        <f t="shared" si="0"/>
        <v>6.3E-5</v>
      </c>
      <c r="N63">
        <f t="shared" si="1"/>
        <v>8.2999999999999998E-5</v>
      </c>
      <c r="O63">
        <f t="shared" si="2"/>
        <v>6.7999999999999999E-5</v>
      </c>
      <c r="P63">
        <f t="shared" si="3"/>
        <v>8.0844510489016917E-5</v>
      </c>
    </row>
    <row r="64" spans="1:16" x14ac:dyDescent="0.2">
      <c r="A64">
        <v>31500</v>
      </c>
      <c r="B64">
        <v>6.6000000000000005E-5</v>
      </c>
      <c r="C64">
        <v>8.1000000000000004E-5</v>
      </c>
      <c r="D64">
        <v>6.7999999999999999E-5</v>
      </c>
      <c r="E64">
        <v>8.5000000000000006E-5</v>
      </c>
      <c r="F64">
        <v>9.1000000000000003E-5</v>
      </c>
      <c r="G64">
        <v>7.7999999999999999E-5</v>
      </c>
      <c r="H64">
        <v>6.4999999999999994E-5</v>
      </c>
      <c r="I64">
        <v>7.2000000000000002E-5</v>
      </c>
      <c r="J64">
        <v>6.8999999999999997E-5</v>
      </c>
      <c r="K64">
        <v>6.6000000000000005E-5</v>
      </c>
      <c r="M64">
        <f t="shared" si="0"/>
        <v>6.4999999999999994E-5</v>
      </c>
      <c r="N64">
        <f t="shared" si="1"/>
        <v>9.1000000000000003E-5</v>
      </c>
      <c r="O64">
        <f t="shared" si="2"/>
        <v>7.4099999999999999E-5</v>
      </c>
      <c r="P64">
        <f t="shared" si="3"/>
        <v>8.0969589968212823E-5</v>
      </c>
    </row>
    <row r="65" spans="1:16" x14ac:dyDescent="0.2">
      <c r="A65">
        <v>32000</v>
      </c>
      <c r="B65">
        <v>6.8999999999999997E-5</v>
      </c>
      <c r="C65">
        <v>8.2999999999999998E-5</v>
      </c>
      <c r="D65">
        <v>6.6000000000000005E-5</v>
      </c>
      <c r="E65">
        <v>6.4999999999999994E-5</v>
      </c>
      <c r="F65">
        <v>6.8999999999999997E-5</v>
      </c>
      <c r="G65">
        <v>6.3999999999999997E-5</v>
      </c>
      <c r="H65">
        <v>6.3999999999999997E-5</v>
      </c>
      <c r="I65">
        <v>6.9999999999999994E-5</v>
      </c>
      <c r="J65">
        <v>7.2999999999999999E-5</v>
      </c>
      <c r="K65">
        <v>6.4999999999999994E-5</v>
      </c>
      <c r="M65">
        <f t="shared" si="0"/>
        <v>6.3999999999999997E-5</v>
      </c>
      <c r="N65">
        <f t="shared" si="1"/>
        <v>8.2999999999999998E-5</v>
      </c>
      <c r="O65">
        <f t="shared" si="2"/>
        <v>6.8799999999999992E-5</v>
      </c>
      <c r="P65">
        <f t="shared" si="3"/>
        <v>8.1092699609758311E-5</v>
      </c>
    </row>
    <row r="66" spans="1:16" x14ac:dyDescent="0.2">
      <c r="A66">
        <v>32500</v>
      </c>
      <c r="B66">
        <v>6.7000000000000002E-5</v>
      </c>
      <c r="C66">
        <v>6.4999999999999994E-5</v>
      </c>
      <c r="D66">
        <v>7.8999999999999996E-5</v>
      </c>
      <c r="E66">
        <v>7.6000000000000004E-5</v>
      </c>
      <c r="F66">
        <v>6.6000000000000005E-5</v>
      </c>
      <c r="G66">
        <v>6.7000000000000002E-5</v>
      </c>
      <c r="H66">
        <v>6.7999999999999999E-5</v>
      </c>
      <c r="I66">
        <v>6.8999999999999997E-5</v>
      </c>
      <c r="J66">
        <v>7.2000000000000002E-5</v>
      </c>
      <c r="K66">
        <v>7.2999999999999999E-5</v>
      </c>
      <c r="M66">
        <f t="shared" si="0"/>
        <v>6.4999999999999994E-5</v>
      </c>
      <c r="N66">
        <f t="shared" si="1"/>
        <v>7.8999999999999996E-5</v>
      </c>
      <c r="O66">
        <f t="shared" si="2"/>
        <v>7.0199999999999999E-5</v>
      </c>
      <c r="P66">
        <f t="shared" si="3"/>
        <v>8.1213900497619746E-5</v>
      </c>
    </row>
    <row r="67" spans="1:16" x14ac:dyDescent="0.2">
      <c r="A67">
        <v>33000</v>
      </c>
      <c r="B67">
        <v>6.6000000000000005E-5</v>
      </c>
      <c r="C67">
        <v>6.7999999999999999E-5</v>
      </c>
      <c r="D67">
        <v>6.7000000000000002E-5</v>
      </c>
      <c r="E67">
        <v>6.7000000000000002E-5</v>
      </c>
      <c r="F67">
        <v>6.4999999999999994E-5</v>
      </c>
      <c r="G67">
        <v>6.3E-5</v>
      </c>
      <c r="H67">
        <v>6.4999999999999994E-5</v>
      </c>
      <c r="I67">
        <v>7.7999999999999999E-5</v>
      </c>
      <c r="J67">
        <v>8.0000000000000007E-5</v>
      </c>
      <c r="K67">
        <v>6.7000000000000002E-5</v>
      </c>
      <c r="M67">
        <f t="shared" ref="M67:M101" si="4">MIN(B67:K67)</f>
        <v>6.3E-5</v>
      </c>
      <c r="N67">
        <f t="shared" ref="N67:N101" si="5">MAX(B67:K67)</f>
        <v>8.0000000000000007E-5</v>
      </c>
      <c r="O67">
        <f t="shared" ref="O67:O101" si="6">AVERAGE(B67:K67)</f>
        <v>6.86E-5</v>
      </c>
      <c r="P67">
        <f t="shared" ref="P67:P101" si="7">LOG(A67)*0.000018</f>
        <v>8.1333250917801973E-5</v>
      </c>
    </row>
    <row r="68" spans="1:16" x14ac:dyDescent="0.2">
      <c r="A68">
        <v>33500</v>
      </c>
      <c r="B68">
        <v>6.8999999999999997E-5</v>
      </c>
      <c r="C68">
        <v>7.1000000000000005E-5</v>
      </c>
      <c r="D68">
        <v>7.3999999999999996E-5</v>
      </c>
      <c r="E68">
        <v>7.1000000000000005E-5</v>
      </c>
      <c r="F68">
        <v>7.1000000000000005E-5</v>
      </c>
      <c r="G68">
        <v>8.3999999999999995E-5</v>
      </c>
      <c r="H68">
        <v>6.6000000000000005E-5</v>
      </c>
      <c r="I68">
        <v>6.8999999999999997E-5</v>
      </c>
      <c r="J68">
        <v>6.8999999999999997E-5</v>
      </c>
      <c r="K68">
        <v>6.8999999999999997E-5</v>
      </c>
      <c r="M68">
        <f t="shared" si="4"/>
        <v>6.6000000000000005E-5</v>
      </c>
      <c r="N68">
        <f t="shared" si="5"/>
        <v>8.3999999999999995E-5</v>
      </c>
      <c r="O68">
        <f t="shared" si="6"/>
        <v>7.1300000000000012E-5</v>
      </c>
      <c r="P68">
        <f t="shared" si="7"/>
        <v>8.1450806526663219E-5</v>
      </c>
    </row>
    <row r="69" spans="1:16" x14ac:dyDescent="0.2">
      <c r="A69">
        <v>34000</v>
      </c>
      <c r="B69">
        <v>6.7000000000000002E-5</v>
      </c>
      <c r="C69">
        <v>6.2000000000000003E-5</v>
      </c>
      <c r="D69">
        <v>6.2000000000000003E-5</v>
      </c>
      <c r="E69">
        <v>7.3999999999999996E-5</v>
      </c>
      <c r="F69">
        <v>7.3999999999999996E-5</v>
      </c>
      <c r="G69">
        <v>6.2000000000000003E-5</v>
      </c>
      <c r="H69">
        <v>6.7999999999999999E-5</v>
      </c>
      <c r="I69">
        <v>6.3999999999999997E-5</v>
      </c>
      <c r="J69">
        <v>6.3999999999999997E-5</v>
      </c>
      <c r="K69">
        <v>6.2000000000000003E-5</v>
      </c>
      <c r="M69">
        <f t="shared" si="4"/>
        <v>6.2000000000000003E-5</v>
      </c>
      <c r="N69">
        <f t="shared" si="5"/>
        <v>7.3999999999999996E-5</v>
      </c>
      <c r="O69">
        <f t="shared" si="6"/>
        <v>6.5900000000000003E-5</v>
      </c>
      <c r="P69">
        <f t="shared" si="7"/>
        <v>8.1566620506760596E-5</v>
      </c>
    </row>
    <row r="70" spans="1:16" x14ac:dyDescent="0.2">
      <c r="A70">
        <v>34500</v>
      </c>
      <c r="B70">
        <v>6.7999999999999999E-5</v>
      </c>
      <c r="C70">
        <v>8.0000000000000007E-5</v>
      </c>
      <c r="D70">
        <v>6.7000000000000002E-5</v>
      </c>
      <c r="E70">
        <v>6.8999999999999997E-5</v>
      </c>
      <c r="F70">
        <v>6.8999999999999997E-5</v>
      </c>
      <c r="G70">
        <v>6.6000000000000005E-5</v>
      </c>
      <c r="H70">
        <v>8.2000000000000001E-5</v>
      </c>
      <c r="I70">
        <v>6.6000000000000005E-5</v>
      </c>
      <c r="J70">
        <v>6.7000000000000002E-5</v>
      </c>
      <c r="K70">
        <v>7.3999999999999996E-5</v>
      </c>
      <c r="M70">
        <f t="shared" si="4"/>
        <v>6.6000000000000005E-5</v>
      </c>
      <c r="N70">
        <f t="shared" si="5"/>
        <v>8.2000000000000001E-5</v>
      </c>
      <c r="O70">
        <f t="shared" si="6"/>
        <v>7.08E-5</v>
      </c>
      <c r="P70">
        <f t="shared" si="7"/>
        <v>8.1680743711318946E-5</v>
      </c>
    </row>
    <row r="71" spans="1:16" x14ac:dyDescent="0.2">
      <c r="A71">
        <v>35000</v>
      </c>
      <c r="B71">
        <v>7.2000000000000002E-5</v>
      </c>
      <c r="C71">
        <v>7.1000000000000005E-5</v>
      </c>
      <c r="D71">
        <v>7.2999999999999999E-5</v>
      </c>
      <c r="E71">
        <v>6.4999999999999994E-5</v>
      </c>
      <c r="F71">
        <v>7.7000000000000001E-5</v>
      </c>
      <c r="G71">
        <v>7.6000000000000004E-5</v>
      </c>
      <c r="H71">
        <v>6.8999999999999997E-5</v>
      </c>
      <c r="I71">
        <v>7.7000000000000001E-5</v>
      </c>
      <c r="J71">
        <v>8.1000000000000004E-5</v>
      </c>
      <c r="K71">
        <v>6.7000000000000002E-5</v>
      </c>
      <c r="M71">
        <f t="shared" si="4"/>
        <v>6.4999999999999994E-5</v>
      </c>
      <c r="N71">
        <f t="shared" si="5"/>
        <v>8.1000000000000004E-5</v>
      </c>
      <c r="O71">
        <f t="shared" si="6"/>
        <v>7.2800000000000008E-5</v>
      </c>
      <c r="P71">
        <f t="shared" si="7"/>
        <v>8.1793224798304965E-5</v>
      </c>
    </row>
    <row r="72" spans="1:16" x14ac:dyDescent="0.2">
      <c r="A72">
        <v>35500</v>
      </c>
      <c r="B72">
        <v>6.4999999999999994E-5</v>
      </c>
      <c r="C72">
        <v>7.2000000000000002E-5</v>
      </c>
      <c r="D72">
        <v>6.9999999999999994E-5</v>
      </c>
      <c r="E72">
        <v>6.8999999999999997E-5</v>
      </c>
      <c r="F72">
        <v>6.9999999999999994E-5</v>
      </c>
      <c r="G72">
        <v>7.7000000000000001E-5</v>
      </c>
      <c r="H72">
        <v>6.6000000000000005E-5</v>
      </c>
      <c r="I72">
        <v>6.9999999999999994E-5</v>
      </c>
      <c r="J72">
        <v>7.2000000000000002E-5</v>
      </c>
      <c r="K72">
        <v>6.9999999999999994E-5</v>
      </c>
      <c r="M72">
        <f t="shared" si="4"/>
        <v>6.4999999999999994E-5</v>
      </c>
      <c r="N72">
        <f t="shared" si="5"/>
        <v>7.7000000000000001E-5</v>
      </c>
      <c r="O72">
        <f t="shared" si="6"/>
        <v>7.0099999999999996E-5</v>
      </c>
      <c r="P72">
        <f t="shared" si="7"/>
        <v>8.1904110354991699E-5</v>
      </c>
    </row>
    <row r="73" spans="1:16" x14ac:dyDescent="0.2">
      <c r="A73">
        <v>36000</v>
      </c>
      <c r="B73">
        <v>6.7999999999999999E-5</v>
      </c>
      <c r="C73">
        <v>6.7999999999999999E-5</v>
      </c>
      <c r="D73">
        <v>6.3999999999999997E-5</v>
      </c>
      <c r="E73">
        <v>6.3999999999999997E-5</v>
      </c>
      <c r="F73">
        <v>6.3E-5</v>
      </c>
      <c r="G73">
        <v>6.6000000000000005E-5</v>
      </c>
      <c r="H73">
        <v>6.4999999999999994E-5</v>
      </c>
      <c r="I73">
        <v>6.2000000000000003E-5</v>
      </c>
      <c r="J73">
        <v>6.2000000000000003E-5</v>
      </c>
      <c r="K73">
        <v>7.2999999999999999E-5</v>
      </c>
      <c r="M73">
        <f t="shared" si="4"/>
        <v>6.2000000000000003E-5</v>
      </c>
      <c r="N73">
        <f t="shared" si="5"/>
        <v>7.2999999999999999E-5</v>
      </c>
      <c r="O73">
        <f t="shared" si="6"/>
        <v>6.5500000000000006E-5</v>
      </c>
      <c r="P73">
        <f t="shared" si="7"/>
        <v>8.2013445013811163E-5</v>
      </c>
    </row>
    <row r="74" spans="1:16" x14ac:dyDescent="0.2">
      <c r="A74">
        <v>36500</v>
      </c>
      <c r="B74">
        <v>8.1000000000000004E-5</v>
      </c>
      <c r="C74">
        <v>6.9999999999999994E-5</v>
      </c>
      <c r="D74">
        <v>7.1000000000000005E-5</v>
      </c>
      <c r="E74">
        <v>6.8999999999999997E-5</v>
      </c>
      <c r="F74">
        <v>6.7000000000000002E-5</v>
      </c>
      <c r="G74">
        <v>6.8999999999999997E-5</v>
      </c>
      <c r="H74">
        <v>6.8999999999999997E-5</v>
      </c>
      <c r="I74">
        <v>6.9999999999999994E-5</v>
      </c>
      <c r="J74">
        <v>6.7999999999999999E-5</v>
      </c>
      <c r="K74">
        <v>7.1000000000000005E-5</v>
      </c>
      <c r="M74">
        <f t="shared" si="4"/>
        <v>6.7000000000000002E-5</v>
      </c>
      <c r="N74">
        <f t="shared" si="5"/>
        <v>8.1000000000000004E-5</v>
      </c>
      <c r="O74">
        <f t="shared" si="6"/>
        <v>7.0499999999999992E-5</v>
      </c>
      <c r="P74">
        <f t="shared" si="7"/>
        <v>8.2121271560216543E-5</v>
      </c>
    </row>
    <row r="75" spans="1:16" x14ac:dyDescent="0.2">
      <c r="A75">
        <v>37000</v>
      </c>
      <c r="B75">
        <v>7.1000000000000005E-5</v>
      </c>
      <c r="C75">
        <v>6.6000000000000005E-5</v>
      </c>
      <c r="D75">
        <v>6.7999999999999999E-5</v>
      </c>
      <c r="E75">
        <v>6.7000000000000002E-5</v>
      </c>
      <c r="F75">
        <v>6.6000000000000005E-5</v>
      </c>
      <c r="G75">
        <v>6.7000000000000002E-5</v>
      </c>
      <c r="H75">
        <v>7.2999999999999999E-5</v>
      </c>
      <c r="I75">
        <v>6.6000000000000005E-5</v>
      </c>
      <c r="J75">
        <v>6.7000000000000002E-5</v>
      </c>
      <c r="K75">
        <v>6.7999999999999999E-5</v>
      </c>
      <c r="M75">
        <f t="shared" si="4"/>
        <v>6.6000000000000005E-5</v>
      </c>
      <c r="N75">
        <f t="shared" si="5"/>
        <v>7.2999999999999999E-5</v>
      </c>
      <c r="O75">
        <f t="shared" si="6"/>
        <v>6.7899999999999997E-5</v>
      </c>
      <c r="P75">
        <f t="shared" si="7"/>
        <v>8.2227631033205911E-5</v>
      </c>
    </row>
    <row r="76" spans="1:16" x14ac:dyDescent="0.2">
      <c r="A76">
        <v>37500</v>
      </c>
      <c r="B76">
        <v>8.3999999999999995E-5</v>
      </c>
      <c r="C76">
        <v>9.2E-5</v>
      </c>
      <c r="D76">
        <v>6.8999999999999997E-5</v>
      </c>
      <c r="E76">
        <v>8.1000000000000004E-5</v>
      </c>
      <c r="F76">
        <v>7.2999999999999999E-5</v>
      </c>
      <c r="G76">
        <v>7.2000000000000002E-5</v>
      </c>
      <c r="H76">
        <v>7.2999999999999999E-5</v>
      </c>
      <c r="I76">
        <v>7.2999999999999999E-5</v>
      </c>
      <c r="J76">
        <v>7.2000000000000002E-5</v>
      </c>
      <c r="K76">
        <v>7.6000000000000004E-5</v>
      </c>
      <c r="M76">
        <f t="shared" si="4"/>
        <v>6.8999999999999997E-5</v>
      </c>
      <c r="N76">
        <f t="shared" si="5"/>
        <v>9.2E-5</v>
      </c>
      <c r="O76">
        <f t="shared" si="6"/>
        <v>7.6500000000000003E-5</v>
      </c>
      <c r="P76">
        <f t="shared" si="7"/>
        <v>8.233256281909894E-5</v>
      </c>
    </row>
    <row r="77" spans="1:16" x14ac:dyDescent="0.2">
      <c r="A77">
        <v>38000</v>
      </c>
      <c r="B77">
        <v>7.2000000000000002E-5</v>
      </c>
      <c r="C77">
        <v>7.3999999999999996E-5</v>
      </c>
      <c r="D77">
        <v>6.4999999999999994E-5</v>
      </c>
      <c r="E77">
        <v>6.7999999999999999E-5</v>
      </c>
      <c r="F77">
        <v>6.7999999999999999E-5</v>
      </c>
      <c r="G77">
        <v>6.7999999999999999E-5</v>
      </c>
      <c r="H77">
        <v>6.9999999999999994E-5</v>
      </c>
      <c r="I77">
        <v>6.4999999999999994E-5</v>
      </c>
      <c r="J77">
        <v>6.6000000000000005E-5</v>
      </c>
      <c r="K77">
        <v>6.6000000000000005E-5</v>
      </c>
      <c r="M77">
        <f t="shared" si="4"/>
        <v>6.4999999999999994E-5</v>
      </c>
      <c r="N77">
        <f t="shared" si="5"/>
        <v>7.3999999999999996E-5</v>
      </c>
      <c r="O77">
        <f t="shared" si="6"/>
        <v>6.8199999999999991E-5</v>
      </c>
      <c r="P77">
        <f t="shared" si="7"/>
        <v>8.2436104739102585E-5</v>
      </c>
    </row>
    <row r="78" spans="1:16" x14ac:dyDescent="0.2">
      <c r="A78">
        <v>38500</v>
      </c>
      <c r="B78">
        <v>7.7000000000000001E-5</v>
      </c>
      <c r="C78">
        <v>8.0000000000000007E-5</v>
      </c>
      <c r="D78">
        <v>7.2000000000000002E-5</v>
      </c>
      <c r="E78">
        <v>7.3999999999999996E-5</v>
      </c>
      <c r="F78">
        <v>7.2999999999999999E-5</v>
      </c>
      <c r="G78">
        <v>7.2000000000000002E-5</v>
      </c>
      <c r="H78">
        <v>7.7999999999999999E-5</v>
      </c>
      <c r="I78">
        <v>7.2999999999999999E-5</v>
      </c>
      <c r="J78">
        <v>8.3999999999999995E-5</v>
      </c>
      <c r="K78">
        <v>8.3999999999999995E-5</v>
      </c>
      <c r="M78">
        <f t="shared" si="4"/>
        <v>7.2000000000000002E-5</v>
      </c>
      <c r="N78">
        <f t="shared" si="5"/>
        <v>8.3999999999999995E-5</v>
      </c>
      <c r="O78">
        <f t="shared" si="6"/>
        <v>7.6699999999999994E-5</v>
      </c>
      <c r="P78">
        <f t="shared" si="7"/>
        <v>8.2538293131153019E-5</v>
      </c>
    </row>
    <row r="79" spans="1:16" x14ac:dyDescent="0.2">
      <c r="A79">
        <v>39000</v>
      </c>
      <c r="B79">
        <v>7.3999999999999996E-5</v>
      </c>
      <c r="C79">
        <v>8.8999999999999995E-5</v>
      </c>
      <c r="D79">
        <v>7.7999999999999999E-5</v>
      </c>
      <c r="E79">
        <v>7.2999999999999999E-5</v>
      </c>
      <c r="F79">
        <v>7.2999999999999999E-5</v>
      </c>
      <c r="G79">
        <v>7.2999999999999999E-5</v>
      </c>
      <c r="H79">
        <v>7.2000000000000002E-5</v>
      </c>
      <c r="I79">
        <v>7.3999999999999996E-5</v>
      </c>
      <c r="J79">
        <v>7.4999999999999993E-5</v>
      </c>
      <c r="K79">
        <v>7.2000000000000002E-5</v>
      </c>
      <c r="M79">
        <f t="shared" si="4"/>
        <v>7.2000000000000002E-5</v>
      </c>
      <c r="N79">
        <f t="shared" si="5"/>
        <v>8.8999999999999995E-5</v>
      </c>
      <c r="O79">
        <f t="shared" si="6"/>
        <v>7.5299999999999987E-5</v>
      </c>
      <c r="P79">
        <f t="shared" si="7"/>
        <v>8.263916292647699E-5</v>
      </c>
    </row>
    <row r="80" spans="1:16" x14ac:dyDescent="0.2">
      <c r="A80">
        <v>39500</v>
      </c>
      <c r="B80">
        <v>8.1000000000000004E-5</v>
      </c>
      <c r="C80">
        <v>8.8999999999999995E-5</v>
      </c>
      <c r="D80">
        <v>8.0000000000000007E-5</v>
      </c>
      <c r="E80">
        <v>7.4999999999999993E-5</v>
      </c>
      <c r="F80">
        <v>7.6000000000000004E-5</v>
      </c>
      <c r="G80">
        <v>7.6000000000000004E-5</v>
      </c>
      <c r="H80">
        <v>7.3999999999999996E-5</v>
      </c>
      <c r="I80">
        <v>7.6000000000000004E-5</v>
      </c>
      <c r="J80">
        <v>7.4999999999999993E-5</v>
      </c>
      <c r="K80">
        <v>7.4999999999999993E-5</v>
      </c>
      <c r="M80">
        <f t="shared" si="4"/>
        <v>7.3999999999999996E-5</v>
      </c>
      <c r="N80">
        <f t="shared" si="5"/>
        <v>8.8999999999999995E-5</v>
      </c>
      <c r="O80">
        <f t="shared" si="6"/>
        <v>7.7699999999999991E-5</v>
      </c>
      <c r="P80">
        <f t="shared" si="7"/>
        <v>8.2738747721276286E-5</v>
      </c>
    </row>
    <row r="81" spans="1:16" x14ac:dyDescent="0.2">
      <c r="A81">
        <v>40000</v>
      </c>
      <c r="B81">
        <v>7.4999999999999993E-5</v>
      </c>
      <c r="C81">
        <v>7.6000000000000004E-5</v>
      </c>
      <c r="D81">
        <v>7.3999999999999996E-5</v>
      </c>
      <c r="E81">
        <v>7.8999999999999996E-5</v>
      </c>
      <c r="F81">
        <v>8.0000000000000007E-5</v>
      </c>
      <c r="G81">
        <v>7.3999999999999996E-5</v>
      </c>
      <c r="H81">
        <v>7.6000000000000004E-5</v>
      </c>
      <c r="I81">
        <v>7.7000000000000001E-5</v>
      </c>
      <c r="J81">
        <v>7.4999999999999993E-5</v>
      </c>
      <c r="K81">
        <v>9.0000000000000006E-5</v>
      </c>
      <c r="M81">
        <f t="shared" si="4"/>
        <v>7.3999999999999996E-5</v>
      </c>
      <c r="N81">
        <f t="shared" si="5"/>
        <v>9.0000000000000006E-5</v>
      </c>
      <c r="O81">
        <f t="shared" si="6"/>
        <v>7.7600000000000002E-5</v>
      </c>
      <c r="P81">
        <f t="shared" si="7"/>
        <v>8.2837079843903333E-5</v>
      </c>
    </row>
    <row r="82" spans="1:16" x14ac:dyDescent="0.2">
      <c r="A82">
        <v>40500</v>
      </c>
      <c r="B82">
        <v>9.2E-5</v>
      </c>
      <c r="C82">
        <v>8.8999999999999995E-5</v>
      </c>
      <c r="D82">
        <v>8.8999999999999995E-5</v>
      </c>
      <c r="E82">
        <v>8.1000000000000004E-5</v>
      </c>
      <c r="F82">
        <v>7.7000000000000001E-5</v>
      </c>
      <c r="G82">
        <v>7.4999999999999993E-5</v>
      </c>
      <c r="H82">
        <v>7.8999999999999996E-5</v>
      </c>
      <c r="I82">
        <v>7.6000000000000004E-5</v>
      </c>
      <c r="J82">
        <v>7.3999999999999996E-5</v>
      </c>
      <c r="K82">
        <v>8.2000000000000001E-5</v>
      </c>
      <c r="M82">
        <f t="shared" si="4"/>
        <v>7.3999999999999996E-5</v>
      </c>
      <c r="N82">
        <f t="shared" si="5"/>
        <v>9.2E-5</v>
      </c>
      <c r="O82">
        <f t="shared" si="6"/>
        <v>8.14E-5</v>
      </c>
      <c r="P82">
        <f t="shared" si="7"/>
        <v>8.2934190417864029E-5</v>
      </c>
    </row>
    <row r="83" spans="1:16" x14ac:dyDescent="0.2">
      <c r="A83">
        <v>41000</v>
      </c>
      <c r="B83">
        <v>7.7999999999999999E-5</v>
      </c>
      <c r="C83">
        <v>8.2000000000000001E-5</v>
      </c>
      <c r="D83">
        <v>7.7000000000000001E-5</v>
      </c>
      <c r="E83">
        <v>7.8999999999999996E-5</v>
      </c>
      <c r="F83">
        <v>8.8999999999999995E-5</v>
      </c>
      <c r="G83">
        <v>7.7999999999999999E-5</v>
      </c>
      <c r="H83">
        <v>7.7000000000000001E-5</v>
      </c>
      <c r="I83">
        <v>7.8999999999999996E-5</v>
      </c>
      <c r="J83">
        <v>7.7999999999999999E-5</v>
      </c>
      <c r="K83">
        <v>7.7999999999999999E-5</v>
      </c>
      <c r="M83">
        <f t="shared" si="4"/>
        <v>7.7000000000000001E-5</v>
      </c>
      <c r="N83">
        <f t="shared" si="5"/>
        <v>8.8999999999999995E-5</v>
      </c>
      <c r="O83">
        <f t="shared" si="6"/>
        <v>7.9499999999999994E-5</v>
      </c>
      <c r="P83">
        <f t="shared" si="7"/>
        <v>8.3030109420955244E-5</v>
      </c>
    </row>
    <row r="84" spans="1:16" x14ac:dyDescent="0.2">
      <c r="A84">
        <v>41500</v>
      </c>
      <c r="B84">
        <v>8.5000000000000006E-5</v>
      </c>
      <c r="C84">
        <v>8.2000000000000001E-5</v>
      </c>
      <c r="D84">
        <v>8.1000000000000004E-5</v>
      </c>
      <c r="E84">
        <v>8.1000000000000004E-5</v>
      </c>
      <c r="F84">
        <v>8.1000000000000004E-5</v>
      </c>
      <c r="G84">
        <v>9.3999999999999994E-5</v>
      </c>
      <c r="H84">
        <v>9.3999999999999994E-5</v>
      </c>
      <c r="I84">
        <v>8.0000000000000007E-5</v>
      </c>
      <c r="J84">
        <v>9.2E-5</v>
      </c>
      <c r="K84">
        <v>8.0000000000000007E-5</v>
      </c>
      <c r="M84">
        <f t="shared" si="4"/>
        <v>8.0000000000000007E-5</v>
      </c>
      <c r="N84">
        <f t="shared" si="5"/>
        <v>9.3999999999999994E-5</v>
      </c>
      <c r="O84">
        <f t="shared" si="6"/>
        <v>8.4999999999999993E-5</v>
      </c>
      <c r="P84">
        <f t="shared" si="7"/>
        <v>8.312486574081767E-5</v>
      </c>
    </row>
    <row r="85" spans="1:16" x14ac:dyDescent="0.2">
      <c r="A85">
        <v>42000</v>
      </c>
      <c r="B85">
        <v>8.8999999999999995E-5</v>
      </c>
      <c r="C85">
        <v>9.1000000000000003E-5</v>
      </c>
      <c r="D85">
        <v>8.0000000000000007E-5</v>
      </c>
      <c r="E85">
        <v>8.1000000000000004E-5</v>
      </c>
      <c r="F85">
        <v>8.2000000000000001E-5</v>
      </c>
      <c r="G85">
        <v>8.0000000000000007E-5</v>
      </c>
      <c r="H85">
        <v>8.1000000000000004E-5</v>
      </c>
      <c r="I85">
        <v>7.7999999999999999E-5</v>
      </c>
      <c r="J85">
        <v>8.2000000000000001E-5</v>
      </c>
      <c r="K85">
        <v>8.2999999999999998E-5</v>
      </c>
      <c r="M85">
        <f t="shared" si="4"/>
        <v>7.7999999999999999E-5</v>
      </c>
      <c r="N85">
        <f t="shared" si="5"/>
        <v>9.1000000000000003E-5</v>
      </c>
      <c r="O85">
        <f t="shared" si="6"/>
        <v>8.2700000000000004E-5</v>
      </c>
      <c r="P85">
        <f t="shared" si="7"/>
        <v>8.3218487227162223E-5</v>
      </c>
    </row>
    <row r="86" spans="1:16" x14ac:dyDescent="0.2">
      <c r="A86">
        <v>42500</v>
      </c>
      <c r="B86">
        <v>8.2000000000000001E-5</v>
      </c>
      <c r="C86">
        <v>9.0000000000000006E-5</v>
      </c>
      <c r="D86">
        <v>8.2000000000000001E-5</v>
      </c>
      <c r="E86">
        <v>8.1000000000000004E-5</v>
      </c>
      <c r="F86">
        <v>8.0000000000000007E-5</v>
      </c>
      <c r="G86">
        <v>8.2999999999999998E-5</v>
      </c>
      <c r="H86">
        <v>8.1000000000000004E-5</v>
      </c>
      <c r="I86">
        <v>8.2000000000000001E-5</v>
      </c>
      <c r="J86">
        <v>8.1000000000000004E-5</v>
      </c>
      <c r="K86">
        <v>9.7E-5</v>
      </c>
      <c r="M86">
        <f t="shared" si="4"/>
        <v>8.0000000000000007E-5</v>
      </c>
      <c r="N86">
        <f t="shared" si="5"/>
        <v>9.7E-5</v>
      </c>
      <c r="O86">
        <f t="shared" si="6"/>
        <v>8.3900000000000006E-5</v>
      </c>
      <c r="P86">
        <f t="shared" si="7"/>
        <v>8.3311000740905617E-5</v>
      </c>
    </row>
    <row r="87" spans="1:16" x14ac:dyDescent="0.2">
      <c r="A87">
        <v>43000</v>
      </c>
      <c r="B87">
        <v>8.2000000000000001E-5</v>
      </c>
      <c r="C87">
        <v>8.3999999999999995E-5</v>
      </c>
      <c r="D87">
        <v>7.7999999999999999E-5</v>
      </c>
      <c r="E87">
        <v>7.7999999999999999E-5</v>
      </c>
      <c r="F87">
        <v>8.1000000000000004E-5</v>
      </c>
      <c r="G87">
        <v>7.7999999999999999E-5</v>
      </c>
      <c r="H87">
        <v>8.0000000000000007E-5</v>
      </c>
      <c r="I87">
        <v>7.7999999999999999E-5</v>
      </c>
      <c r="J87">
        <v>8.0000000000000007E-5</v>
      </c>
      <c r="K87">
        <v>9.1000000000000003E-5</v>
      </c>
      <c r="M87">
        <f t="shared" si="4"/>
        <v>7.7999999999999999E-5</v>
      </c>
      <c r="N87">
        <f t="shared" si="5"/>
        <v>9.1000000000000003E-5</v>
      </c>
      <c r="O87">
        <f t="shared" si="6"/>
        <v>8.1000000000000004E-5</v>
      </c>
      <c r="P87">
        <f t="shared" si="7"/>
        <v>8.340243220043256E-5</v>
      </c>
    </row>
    <row r="88" spans="1:16" x14ac:dyDescent="0.2">
      <c r="A88">
        <v>43500</v>
      </c>
      <c r="B88">
        <v>9.6000000000000002E-5</v>
      </c>
      <c r="C88">
        <v>8.3999999999999995E-5</v>
      </c>
      <c r="D88">
        <v>7.8999999999999996E-5</v>
      </c>
      <c r="E88">
        <v>7.8999999999999996E-5</v>
      </c>
      <c r="F88">
        <v>7.8999999999999996E-5</v>
      </c>
      <c r="G88">
        <v>8.2000000000000001E-5</v>
      </c>
      <c r="H88">
        <v>8.1000000000000004E-5</v>
      </c>
      <c r="I88">
        <v>9.1000000000000003E-5</v>
      </c>
      <c r="J88">
        <v>7.7000000000000001E-5</v>
      </c>
      <c r="K88">
        <v>8.1000000000000004E-5</v>
      </c>
      <c r="M88">
        <f t="shared" si="4"/>
        <v>7.7000000000000001E-5</v>
      </c>
      <c r="N88">
        <f t="shared" si="5"/>
        <v>9.6000000000000002E-5</v>
      </c>
      <c r="O88">
        <f t="shared" si="6"/>
        <v>8.2900000000000009E-5</v>
      </c>
      <c r="P88">
        <f t="shared" si="7"/>
        <v>8.3492806625183469E-5</v>
      </c>
    </row>
    <row r="89" spans="1:16" x14ac:dyDescent="0.2">
      <c r="A89">
        <v>44000</v>
      </c>
      <c r="B89">
        <v>9.2999999999999997E-5</v>
      </c>
      <c r="C89">
        <v>8.0000000000000007E-5</v>
      </c>
      <c r="D89">
        <v>9.2E-5</v>
      </c>
      <c r="E89">
        <v>8.1000000000000004E-5</v>
      </c>
      <c r="F89">
        <v>8.0000000000000007E-5</v>
      </c>
      <c r="G89">
        <v>7.8999999999999996E-5</v>
      </c>
      <c r="H89">
        <v>8.0000000000000007E-5</v>
      </c>
      <c r="I89">
        <v>7.8999999999999996E-5</v>
      </c>
      <c r="J89">
        <v>8.1000000000000004E-5</v>
      </c>
      <c r="K89">
        <v>8.0000000000000007E-5</v>
      </c>
      <c r="M89">
        <f t="shared" si="4"/>
        <v>7.8999999999999996E-5</v>
      </c>
      <c r="N89">
        <f t="shared" si="5"/>
        <v>9.2999999999999997E-5</v>
      </c>
      <c r="O89">
        <f t="shared" si="6"/>
        <v>8.25E-5</v>
      </c>
      <c r="P89">
        <f t="shared" si="7"/>
        <v>8.3582148176751387E-5</v>
      </c>
    </row>
    <row r="90" spans="1:16" x14ac:dyDescent="0.2">
      <c r="A90">
        <v>44500</v>
      </c>
      <c r="B90">
        <v>8.1000000000000004E-5</v>
      </c>
      <c r="C90">
        <v>8.0000000000000007E-5</v>
      </c>
      <c r="D90">
        <v>8.0000000000000007E-5</v>
      </c>
      <c r="E90">
        <v>7.8999999999999996E-5</v>
      </c>
      <c r="F90">
        <v>8.1000000000000004E-5</v>
      </c>
      <c r="G90">
        <v>7.8999999999999996E-5</v>
      </c>
      <c r="H90">
        <v>8.1000000000000004E-5</v>
      </c>
      <c r="I90">
        <v>8.1000000000000004E-5</v>
      </c>
      <c r="J90">
        <v>9.5000000000000005E-5</v>
      </c>
      <c r="K90">
        <v>8.6000000000000003E-5</v>
      </c>
      <c r="M90">
        <f t="shared" si="4"/>
        <v>7.8999999999999996E-5</v>
      </c>
      <c r="N90">
        <f t="shared" si="5"/>
        <v>9.5000000000000005E-5</v>
      </c>
      <c r="O90">
        <f t="shared" si="6"/>
        <v>8.2300000000000008E-5</v>
      </c>
      <c r="P90">
        <f t="shared" si="7"/>
        <v>8.3670480197656775E-5</v>
      </c>
    </row>
    <row r="91" spans="1:16" x14ac:dyDescent="0.2">
      <c r="A91">
        <v>45000</v>
      </c>
      <c r="B91">
        <v>9.2999999999999997E-5</v>
      </c>
      <c r="C91">
        <v>8.2000000000000001E-5</v>
      </c>
      <c r="D91">
        <v>8.2000000000000001E-5</v>
      </c>
      <c r="E91">
        <v>8.0000000000000007E-5</v>
      </c>
      <c r="F91">
        <v>8.2000000000000001E-5</v>
      </c>
      <c r="G91">
        <v>9.3999999999999994E-5</v>
      </c>
      <c r="H91">
        <v>8.2999999999999998E-5</v>
      </c>
      <c r="I91">
        <v>8.0000000000000007E-5</v>
      </c>
      <c r="J91">
        <v>8.1000000000000004E-5</v>
      </c>
      <c r="K91">
        <v>8.1000000000000004E-5</v>
      </c>
      <c r="M91">
        <f t="shared" si="4"/>
        <v>8.0000000000000007E-5</v>
      </c>
      <c r="N91">
        <f t="shared" si="5"/>
        <v>9.3999999999999994E-5</v>
      </c>
      <c r="O91">
        <f t="shared" si="6"/>
        <v>8.3800000000000004E-5</v>
      </c>
      <c r="P91">
        <f t="shared" si="7"/>
        <v>8.3757825247956198E-5</v>
      </c>
    </row>
    <row r="92" spans="1:16" x14ac:dyDescent="0.2">
      <c r="A92">
        <v>45500</v>
      </c>
      <c r="B92">
        <v>9.2E-5</v>
      </c>
      <c r="C92">
        <v>8.2000000000000001E-5</v>
      </c>
      <c r="D92">
        <v>8.2000000000000001E-5</v>
      </c>
      <c r="E92">
        <v>8.3999999999999995E-5</v>
      </c>
      <c r="F92">
        <v>8.1000000000000004E-5</v>
      </c>
      <c r="G92">
        <v>8.2000000000000001E-5</v>
      </c>
      <c r="H92">
        <v>8.1000000000000004E-5</v>
      </c>
      <c r="I92">
        <v>8.2000000000000001E-5</v>
      </c>
      <c r="J92">
        <v>8.2000000000000001E-5</v>
      </c>
      <c r="K92">
        <v>9.5000000000000005E-5</v>
      </c>
      <c r="M92">
        <f t="shared" si="4"/>
        <v>8.1000000000000004E-5</v>
      </c>
      <c r="N92">
        <f t="shared" si="5"/>
        <v>9.5000000000000005E-5</v>
      </c>
      <c r="O92">
        <f t="shared" si="6"/>
        <v>8.4300000000000016E-5</v>
      </c>
      <c r="P92">
        <f t="shared" si="7"/>
        <v>8.3844205139828022E-5</v>
      </c>
    </row>
    <row r="93" spans="1:16" x14ac:dyDescent="0.2">
      <c r="A93">
        <v>46000</v>
      </c>
      <c r="B93">
        <v>8.2999999999999998E-5</v>
      </c>
      <c r="C93">
        <v>8.2999999999999998E-5</v>
      </c>
      <c r="D93">
        <v>8.1000000000000004E-5</v>
      </c>
      <c r="E93">
        <v>8.0000000000000007E-5</v>
      </c>
      <c r="F93">
        <v>8.0000000000000007E-5</v>
      </c>
      <c r="G93">
        <v>7.8999999999999996E-5</v>
      </c>
      <c r="H93">
        <v>8.1000000000000004E-5</v>
      </c>
      <c r="I93">
        <v>8.0000000000000007E-5</v>
      </c>
      <c r="J93">
        <v>8.1000000000000004E-5</v>
      </c>
      <c r="K93">
        <v>7.8999999999999996E-5</v>
      </c>
      <c r="M93">
        <f t="shared" si="4"/>
        <v>7.8999999999999996E-5</v>
      </c>
      <c r="N93">
        <f t="shared" si="5"/>
        <v>8.2999999999999998E-5</v>
      </c>
      <c r="O93">
        <f t="shared" si="6"/>
        <v>8.0699999999999996E-5</v>
      </c>
      <c r="P93">
        <f t="shared" si="7"/>
        <v>8.3929640970268346E-5</v>
      </c>
    </row>
    <row r="94" spans="1:16" x14ac:dyDescent="0.2">
      <c r="A94">
        <v>46500</v>
      </c>
      <c r="B94">
        <v>8.0000000000000007E-5</v>
      </c>
      <c r="C94">
        <v>8.1000000000000004E-5</v>
      </c>
      <c r="D94">
        <v>7.7999999999999999E-5</v>
      </c>
      <c r="E94">
        <v>8.7999999999999998E-5</v>
      </c>
      <c r="F94">
        <v>7.7000000000000001E-5</v>
      </c>
      <c r="G94">
        <v>7.6000000000000004E-5</v>
      </c>
      <c r="H94">
        <v>8.2999999999999998E-5</v>
      </c>
      <c r="I94">
        <v>7.7000000000000001E-5</v>
      </c>
      <c r="J94">
        <v>7.6000000000000004E-5</v>
      </c>
      <c r="K94">
        <v>7.6000000000000004E-5</v>
      </c>
      <c r="M94">
        <f t="shared" si="4"/>
        <v>7.6000000000000004E-5</v>
      </c>
      <c r="N94">
        <f t="shared" si="5"/>
        <v>8.7999999999999998E-5</v>
      </c>
      <c r="O94">
        <f t="shared" si="6"/>
        <v>7.9200000000000001E-5</v>
      </c>
      <c r="P94">
        <f t="shared" si="7"/>
        <v>8.4014153152019169E-5</v>
      </c>
    </row>
    <row r="95" spans="1:16" x14ac:dyDescent="0.2">
      <c r="A95">
        <v>47000</v>
      </c>
      <c r="B95">
        <v>7.8999999999999996E-5</v>
      </c>
      <c r="C95">
        <v>8.6000000000000003E-5</v>
      </c>
      <c r="D95">
        <v>9.2E-5</v>
      </c>
      <c r="E95">
        <v>8.0000000000000007E-5</v>
      </c>
      <c r="F95">
        <v>8.0000000000000007E-5</v>
      </c>
      <c r="G95">
        <v>8.5000000000000006E-5</v>
      </c>
      <c r="H95">
        <v>8.2999999999999998E-5</v>
      </c>
      <c r="I95">
        <v>8.0000000000000007E-5</v>
      </c>
      <c r="J95">
        <v>8.1000000000000004E-5</v>
      </c>
      <c r="K95">
        <v>8.1000000000000004E-5</v>
      </c>
      <c r="M95">
        <f t="shared" si="4"/>
        <v>7.8999999999999996E-5</v>
      </c>
      <c r="N95">
        <f t="shared" si="5"/>
        <v>9.2E-5</v>
      </c>
      <c r="O95">
        <f t="shared" si="6"/>
        <v>8.2700000000000004E-5</v>
      </c>
      <c r="P95">
        <f t="shared" si="7"/>
        <v>8.4097761442842906E-5</v>
      </c>
    </row>
    <row r="96" spans="1:16" x14ac:dyDescent="0.2">
      <c r="A96">
        <v>47500</v>
      </c>
      <c r="B96">
        <v>8.1000000000000004E-5</v>
      </c>
      <c r="C96">
        <v>7.8999999999999996E-5</v>
      </c>
      <c r="D96">
        <v>9.0000000000000006E-5</v>
      </c>
      <c r="E96">
        <v>8.2999999999999998E-5</v>
      </c>
      <c r="F96">
        <v>7.7999999999999999E-5</v>
      </c>
      <c r="G96">
        <v>8.0000000000000007E-5</v>
      </c>
      <c r="H96">
        <v>7.7999999999999999E-5</v>
      </c>
      <c r="I96">
        <v>7.7999999999999999E-5</v>
      </c>
      <c r="J96">
        <v>7.6000000000000004E-5</v>
      </c>
      <c r="K96">
        <v>7.7999999999999999E-5</v>
      </c>
      <c r="M96">
        <f t="shared" si="4"/>
        <v>7.6000000000000004E-5</v>
      </c>
      <c r="N96">
        <f t="shared" si="5"/>
        <v>9.0000000000000006E-5</v>
      </c>
      <c r="O96">
        <f t="shared" si="6"/>
        <v>8.0100000000000009E-5</v>
      </c>
      <c r="P96">
        <f t="shared" si="7"/>
        <v>8.4180484973247593E-5</v>
      </c>
    </row>
    <row r="97" spans="1:16" x14ac:dyDescent="0.2">
      <c r="A97">
        <v>48000</v>
      </c>
      <c r="B97">
        <v>8.0000000000000007E-5</v>
      </c>
      <c r="C97">
        <v>7.8999999999999996E-5</v>
      </c>
      <c r="D97">
        <v>9.0000000000000006E-5</v>
      </c>
      <c r="E97">
        <v>8.2000000000000001E-5</v>
      </c>
      <c r="F97">
        <v>7.7000000000000001E-5</v>
      </c>
      <c r="G97">
        <v>7.3999999999999996E-5</v>
      </c>
      <c r="H97">
        <v>9.5000000000000005E-5</v>
      </c>
      <c r="I97">
        <v>7.4999999999999993E-5</v>
      </c>
      <c r="J97">
        <v>7.7000000000000001E-5</v>
      </c>
      <c r="K97">
        <v>7.6000000000000004E-5</v>
      </c>
      <c r="M97">
        <f t="shared" si="4"/>
        <v>7.3999999999999996E-5</v>
      </c>
      <c r="N97">
        <f t="shared" si="5"/>
        <v>9.5000000000000005E-5</v>
      </c>
      <c r="O97">
        <f t="shared" si="6"/>
        <v>8.0500000000000005E-5</v>
      </c>
      <c r="P97">
        <f t="shared" si="7"/>
        <v>8.4262342272760577E-5</v>
      </c>
    </row>
    <row r="98" spans="1:16" x14ac:dyDescent="0.2">
      <c r="A98">
        <v>48500</v>
      </c>
      <c r="B98">
        <v>8.1000000000000004E-5</v>
      </c>
      <c r="C98">
        <v>8.0000000000000007E-5</v>
      </c>
      <c r="D98">
        <v>9.0000000000000006E-5</v>
      </c>
      <c r="E98">
        <v>8.8999999999999995E-5</v>
      </c>
      <c r="F98">
        <v>7.2999999999999999E-5</v>
      </c>
      <c r="G98">
        <v>6.9999999999999994E-5</v>
      </c>
      <c r="H98">
        <v>7.4999999999999993E-5</v>
      </c>
      <c r="I98">
        <v>7.2000000000000002E-5</v>
      </c>
      <c r="J98">
        <v>6.7999999999999999E-5</v>
      </c>
      <c r="K98">
        <v>7.2999999999999999E-5</v>
      </c>
      <c r="M98">
        <f t="shared" si="4"/>
        <v>6.7999999999999999E-5</v>
      </c>
      <c r="N98">
        <f t="shared" si="5"/>
        <v>9.0000000000000006E-5</v>
      </c>
      <c r="O98">
        <f t="shared" si="6"/>
        <v>7.7100000000000004E-5</v>
      </c>
      <c r="P98">
        <f t="shared" si="7"/>
        <v>8.4343351294840753E-5</v>
      </c>
    </row>
    <row r="99" spans="1:16" x14ac:dyDescent="0.2">
      <c r="A99">
        <v>49000</v>
      </c>
      <c r="B99">
        <v>7.8999999999999996E-5</v>
      </c>
      <c r="C99">
        <v>8.2000000000000001E-5</v>
      </c>
      <c r="D99">
        <v>8.0000000000000007E-5</v>
      </c>
      <c r="E99">
        <v>8.7000000000000001E-5</v>
      </c>
      <c r="F99">
        <v>8.2999999999999998E-5</v>
      </c>
      <c r="G99">
        <v>6.8999999999999997E-5</v>
      </c>
      <c r="H99">
        <v>6.7999999999999999E-5</v>
      </c>
      <c r="I99">
        <v>7.8999999999999996E-5</v>
      </c>
      <c r="J99">
        <v>7.4999999999999993E-5</v>
      </c>
      <c r="K99">
        <v>6.7000000000000002E-5</v>
      </c>
      <c r="M99">
        <f t="shared" si="4"/>
        <v>6.7000000000000002E-5</v>
      </c>
      <c r="N99">
        <f t="shared" si="5"/>
        <v>8.7000000000000001E-5</v>
      </c>
      <c r="O99">
        <f t="shared" si="6"/>
        <v>7.6899999999999999E-5</v>
      </c>
      <c r="P99">
        <f t="shared" si="7"/>
        <v>8.4423529440513255E-5</v>
      </c>
    </row>
    <row r="100" spans="1:16" x14ac:dyDescent="0.2">
      <c r="A100">
        <v>49500</v>
      </c>
      <c r="B100">
        <v>7.8999999999999996E-5</v>
      </c>
      <c r="C100">
        <v>8.5000000000000006E-5</v>
      </c>
      <c r="D100">
        <v>8.2999999999999998E-5</v>
      </c>
      <c r="E100">
        <v>8.2999999999999998E-5</v>
      </c>
      <c r="F100">
        <v>8.2999999999999998E-5</v>
      </c>
      <c r="G100">
        <v>8.2999999999999998E-5</v>
      </c>
      <c r="H100">
        <v>8.2999999999999998E-5</v>
      </c>
      <c r="I100">
        <v>8.2999999999999998E-5</v>
      </c>
      <c r="J100">
        <v>8.2999999999999998E-5</v>
      </c>
      <c r="K100">
        <v>8.2999999999999998E-5</v>
      </c>
      <c r="M100">
        <f t="shared" si="4"/>
        <v>7.8999999999999996E-5</v>
      </c>
      <c r="N100">
        <f t="shared" si="5"/>
        <v>8.5000000000000006E-5</v>
      </c>
      <c r="O100">
        <f t="shared" si="6"/>
        <v>8.279999999999998E-5</v>
      </c>
      <c r="P100">
        <f t="shared" si="7"/>
        <v>8.4502893580804239E-5</v>
      </c>
    </row>
    <row r="101" spans="1:16" x14ac:dyDescent="0.2">
      <c r="A101">
        <v>50000</v>
      </c>
      <c r="B101">
        <v>8.1000000000000004E-5</v>
      </c>
      <c r="C101">
        <v>1.02E-4</v>
      </c>
      <c r="D101">
        <v>8.8999999999999995E-5</v>
      </c>
      <c r="E101">
        <v>8.8999999999999995E-5</v>
      </c>
      <c r="F101">
        <v>8.8999999999999995E-5</v>
      </c>
      <c r="G101">
        <v>9.0000000000000006E-5</v>
      </c>
      <c r="H101">
        <v>8.8999999999999995E-5</v>
      </c>
      <c r="I101">
        <v>8.8999999999999995E-5</v>
      </c>
      <c r="J101">
        <v>9.0000000000000006E-5</v>
      </c>
      <c r="K101">
        <v>8.7999999999999998E-5</v>
      </c>
      <c r="M101">
        <f t="shared" si="4"/>
        <v>8.1000000000000004E-5</v>
      </c>
      <c r="N101">
        <f t="shared" si="5"/>
        <v>1.02E-4</v>
      </c>
      <c r="O101">
        <f t="shared" si="6"/>
        <v>8.9599999999999996E-5</v>
      </c>
      <c r="P101">
        <f t="shared" si="7"/>
        <v>8.458146007804834E-5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train_variate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2019-04-29T00:38:13Z</dcterms:created>
  <dcterms:modified xsi:type="dcterms:W3CDTF">2019-04-29T00:38:13Z</dcterms:modified>
</cp:coreProperties>
</file>